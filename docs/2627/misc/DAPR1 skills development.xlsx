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defaultThemeVersion="166925"/>
  <xr:revisionPtr revIDLastSave="0" documentId="8_{BAC0E3E3-BE11-4B5F-8333-1C5A894077AB}" xr6:coauthVersionLast="47" xr6:coauthVersionMax="47" xr10:uidLastSave="{00000000-0000-0000-0000-000000000000}"/>
  <bookViews>
    <workbookView xWindow="240" yWindow="105" windowWidth="14805" windowHeight="8010" xr2:uid="{00000000-000D-0000-FFFF-FFFF00000000}"/>
  </bookViews>
  <sheets>
    <sheet name="Assessment-level skills" sheetId="4" r:id="rId1"/>
    <sheet name="OLDQUIZZES" sheetId="6" r:id="rId2"/>
    <sheet name="Assessment skills crosstab" sheetId="5" r:id="rId3"/>
    <sheet name="Lesson-level skills brainstorm"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4" l="1"/>
  <c r="B2" i="5"/>
  <c r="C2" i="5"/>
  <c r="D2" i="5"/>
  <c r="E2" i="5"/>
  <c r="F2" i="5"/>
  <c r="G2" i="5"/>
  <c r="H2" i="5"/>
  <c r="B3" i="5"/>
  <c r="C3" i="5"/>
  <c r="D3" i="5"/>
  <c r="E3" i="5"/>
  <c r="F3" i="5"/>
  <c r="G3" i="5"/>
  <c r="H3" i="5"/>
  <c r="B4" i="5"/>
  <c r="C4" i="5"/>
  <c r="D4" i="5"/>
  <c r="E4" i="5"/>
  <c r="F4" i="5"/>
  <c r="G4" i="5"/>
  <c r="H4" i="5"/>
  <c r="B5" i="5"/>
  <c r="C5" i="5"/>
  <c r="D5" i="5"/>
  <c r="E5" i="5"/>
  <c r="F5" i="5"/>
  <c r="G5" i="5"/>
  <c r="H5" i="5"/>
  <c r="I5" i="5"/>
  <c r="I4" i="5"/>
  <c r="I3" i="5"/>
  <c r="H6" i="5"/>
  <c r="G6" i="5"/>
  <c r="F6" i="5"/>
  <c r="E6" i="5"/>
  <c r="D6" i="5"/>
  <c r="C6" i="5"/>
  <c r="B6" i="5" l="1"/>
  <c r="I2" i="5"/>
  <c r="I6"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tc={CFCA6255-CFF0-41B7-8D0B-8B797A6BEB11}</author>
    <author>tc={768A7103-E269-4106-B6D5-E1855F0461CB}</author>
    <author>tc={22367374-D50D-4E94-AD07-BB4CD58F6E85}</author>
    <author>tc={FA9ACF82-19BB-4186-8F92-AC6B164027D3}</author>
    <author>tc={7711C61B-3B71-4F60-848B-6491624FF06C}</author>
    <author>tc={3005D3CA-5C55-456E-B088-F2B0DF8312C5}</author>
    <author>tc={E72F6EB5-1409-42B1-B6CC-5F9C29AA6DA5}</author>
    <author>tc={54CE1BCD-040B-4E13-901E-43DE8C91F402}</author>
    <author>tc={91836D8A-A7B6-48CE-ACA7-DFA33505F3D2}</author>
    <author>tc={F23CB43E-BF27-4974-93CA-693E086A467A}</author>
    <author>tc={29A5CFC7-A798-48AE-B121-00846EE159E9}</author>
    <author>tc={65BE8153-25A4-4A81-B676-06383E0740B2}</author>
    <author>tc={2EC034CB-EB76-4365-BE1C-DE50BB496133}</author>
    <author>tc={48FDDDBD-E6BA-4A72-B274-3A9E0FBBAC4B}</author>
    <author>tc={4CC4DA89-5BBB-4F62-8F73-4BEF5013A394}</author>
    <author>tc={7165FE41-09D6-475D-8AEF-18AC44C232D3}</author>
    <author>tc={7A85C9A4-2035-47D8-A6B4-07D2AD3E3639}</author>
    <author>tc={AEFC981A-501E-40E3-9232-449CB76E0995}</author>
    <author>tc={C7B764FE-3BD9-49E5-8356-E4FF7906F8F0}</author>
    <author>tc={AA8907AC-3248-4042-A061-232FD7D45B2C}</author>
    <author>tc={DE33A16C-B927-490E-9280-E42AA8207E57}</author>
    <author>tc={C02EA4FB-6C17-4520-A8E4-BE9C08F7F71D}</author>
    <author>tc={48F4937C-741B-4867-8D89-1FD9434B6D69}</author>
    <author>tc={1423AF8B-BF0E-474B-B2AC-4F8D7F63D995}</author>
    <author>tc={24F2C963-6C27-4153-89E4-88A7CBD90F23}</author>
    <author>tc={E6421BF4-1102-4D8A-9728-6A2BDD11E5CF}</author>
    <author>tc={B3C6CCD7-4E0F-43E8-B551-B512F0BFCB4B}</author>
    <author>tc={D42D32DE-A3C8-49B9-BD9E-804087656429}</author>
    <author>tc={97BAB747-9209-4A6A-B3D8-BBE08F1C5A0F}</author>
    <author>tc={6B090969-17E0-4213-B0A7-ECF053131736}</author>
    <author>tc={491C8C78-77C8-4D79-9321-B9544960E3D3}</author>
    <author>tc={B9122E83-0149-49D2-A757-0D4B46EB724A}</author>
    <author>tc={3632B200-8287-495A-9983-BDB650C1F996}</author>
    <author>tc={9B5EDCA9-5BAF-4468-99CF-D1DE60D78F67}</author>
    <author>tc={21306015-70DA-485B-B789-CAF7F7B8CA66}</author>
    <author>tc={AC8AEDD5-3070-4582-B063-5049CFC0E629}</author>
    <author>tc={731B4F55-F394-448B-967F-DF480BDE45A8}</author>
    <author>tc={41767F05-EBA2-4CE5-ABC6-8E366F1467BB}</author>
    <author>tc={C38835E5-E125-4043-A4FA-43F7A3CC4BCC}</author>
    <author>tc={D669F7D3-F16C-4530-891D-CDBCFED7A7F9}</author>
  </authors>
  <commentList>
    <comment ref="B19" authorId="0" shapeId="0" xr:uid="{CFCA6255-CFF0-41B7-8D0B-8B797A6BEB11}">
      <text>
        <t>[Threaded comment]
Your version of Excel allows you to read this threaded comment; however, any edits to it will get removed if the file is opened in a newer version of Excel. Learn more: https://go.microsoft.com/fwlink/?linkid=870924
Comment:
    identification as opposed to doing:
At what level of measurement does the DV (variable compared across groups) need to be for a t-test?</t>
      </text>
    </comment>
    <comment ref="C19" authorId="1" shapeId="0" xr:uid="{768A7103-E269-4106-B6D5-E1855F0461CB}">
      <text>
        <t>[Threaded comment]
Your version of Excel allows you to read this threaded comment; however, any edits to it will get removed if the file is opened in a newer version of Excel. Learn more: https://go.microsoft.com/fwlink/?linkid=870924
Comment:
    True or false. The shape of the t-distribution is governed by the size of the test statistic?</t>
      </text>
    </comment>
    <comment ref="D19" authorId="2" shapeId="0" xr:uid="{22367374-D50D-4E94-AD07-BB4CD58F6E85}">
      <text>
        <t>[Threaded comment]
Your version of Excel allows you to read this threaded comment; however, any edits to it will get removed if the file is opened in a newer version of Excel. Learn more: https://go.microsoft.com/fwlink/?linkid=870924
Comment:
    not a great assumption plotting related q?
True or False, we can test for the independence of observation using a qqplot?</t>
      </text>
    </comment>
    <comment ref="E19" authorId="3" shapeId="0" xr:uid="{FA9ACF82-19BB-4186-8F92-AC6B164027D3}">
      <text>
        <t>[Threaded comment]
Your version of Excel allows you to read this threaded comment; however, any edits to it will get removed if the file is opened in a newer version of Excel. Learn more: https://go.microsoft.com/fwlink/?linkid=870924
Comment:
    I want to know whether my sample differs from the hypothesised mean value of 17 (μ0). My sample data is:
[18,23,19,24,13,21]
What is the value of my t-statistic? Report your answer to 2 decimal places</t>
      </text>
    </comment>
    <comment ref="F19" authorId="4" shapeId="0" xr:uid="{7711C61B-3B71-4F60-848B-6491624FF06C}">
      <text>
        <t>[Threaded comment]
Your version of Excel allows you to read this threaded comment; however, any edits to it will get removed if the file is opened in a newer version of Excel. Learn more: https://go.microsoft.com/fwlink/?linkid=870924
Comment:
    calculating upper critical value</t>
      </text>
    </comment>
    <comment ref="G19" authorId="5" shapeId="0" xr:uid="{3005D3CA-5C55-456E-B088-F2B0DF8312C5}">
      <text>
        <t>[Threaded comment]
Your version of Excel allows you to read this threaded comment; however, any edits to it will get removed if the file is opened in a newer version of Excel. Learn more: https://go.microsoft.com/fwlink/?linkid=870924
Comment:
    calculating df</t>
      </text>
    </comment>
    <comment ref="H19" authorId="6" shapeId="0" xr:uid="{E72F6EB5-1409-42B1-B6CC-5F9C29AA6DA5}">
      <text>
        <t>[Threaded comment]
Your version of Excel allows you to read this threaded comment; however, any edits to it will get removed if the file is opened in a newer version of Excel. Learn more: https://go.microsoft.com/fwlink/?linkid=870924
Comment:
    given output, so not calculating but describing?
I check my effect size using Cohen's D, and get the following output. Which of the following labels best describes my effect size?</t>
      </text>
    </comment>
    <comment ref="I19" authorId="7" shapeId="0" xr:uid="{54CE1BCD-040B-4E13-901E-43DE8C91F402}">
      <text>
        <t>[Threaded comment]
Your version of Excel allows you to read this threaded comment; however, any edits to it will get removed if the file is opened in a newer version of Excel. Learn more: https://go.microsoft.com/fwlink/?linkid=870924
Comment:
    I want to test the following hypothesis:
μ ≠ μ0
When running my t-test in R, what do I need to specify for the argument "alternative = "?</t>
      </text>
    </comment>
    <comment ref="J19" authorId="8" shapeId="0" xr:uid="{91836D8A-A7B6-48CE-ACA7-DFA33505F3D2}">
      <text>
        <t>[Threaded comment]
Your version of Excel allows you to read this threaded comment; however, any edits to it will get removed if the file is opened in a newer version of Excel. Learn more: https://go.microsoft.com/fwlink/?linkid=870924
Comment:
    no previous question</t>
      </text>
    </comment>
    <comment ref="K19" authorId="9" shapeId="0" xr:uid="{F23CB43E-BF27-4974-93CA-693E086A467A}">
      <text>
        <t>[Threaded comment]
Your version of Excel allows you to read this threaded comment; however, any edits to it will get removed if the file is opened in a newer version of Excel. Learn more: https://go.microsoft.com/fwlink/?linkid=870924
Comment:
    no previous question</t>
      </text>
    </comment>
    <comment ref="B20" authorId="10" shapeId="0" xr:uid="{29A5CFC7-A798-48AE-B121-00846EE159E9}">
      <text>
        <t>[Threaded comment]
Your version of Excel allows you to read this threaded comment; however, any edits to it will get removed if the file is opened in a newer version of Excel. Learn more: https://go.microsoft.com/fwlink/?linkid=870924
Comment:
    A researcher conducts a study in which two groups are compared in their performance on a eye-tracking task. Group 1 has 18 participants. Group 2 has 23 participants. The researcher conducts the appropriate t-test for this data and calculates a t-statistic of 2.87. A priori the researcher has decided to use a two-tailed test with alpha = .05. 
Given the information above, which of the following conclusions is correct?</t>
      </text>
    </comment>
    <comment ref="C20" authorId="11" shapeId="0" xr:uid="{65BE8153-25A4-4A81-B676-06383E0740B2}">
      <text>
        <t>[Threaded comment]
Your version of Excel allows you to read this threaded comment; however, any edits to it will get removed if the file is opened in a newer version of Excel. Learn more: https://go.microsoft.com/fwlink/?linkid=870924
Comment:
    calculating upper critical value</t>
      </text>
    </comment>
    <comment ref="D20" authorId="12" shapeId="0" xr:uid="{2EC034CB-EB76-4365-BE1C-DE50BB496133}">
      <text>
        <t>[Threaded comment]
Your version of Excel allows you to read this threaded comment; however, any edits to it will get removed if the file is opened in a newer version of Excel. Learn more: https://go.microsoft.com/fwlink/?linkid=870924
Comment:
    given data whether a welch test is required</t>
      </text>
    </comment>
    <comment ref="E20" authorId="13" shapeId="0" xr:uid="{48FDDDBD-E6BA-4A72-B274-3A9E0FBBAC4B}">
      <text>
        <t>[Threaded comment]
Your version of Excel allows you to read this threaded comment; however, any edits to it will get removed if the file is opened in a newer version of Excel. Learn more: https://go.microsoft.com/fwlink/?linkid=870924
Comment:
    modification of conf.level argument:
A researcher wants to conduct an independent sample t-test with 99% confidence intervals. Which of the following should they specify in their t.test statement?
conf.level = 0.99
conf.level = 0.01
conf.level = 99
conf.level = 0.09</t>
      </text>
    </comment>
    <comment ref="F20" authorId="14" shapeId="0" xr:uid="{4CC4DA89-5BBB-4F62-8F73-4BEF5013A394}">
      <text>
        <t xml:space="preserve">[Threaded comment]
Your version of Excel allows you to read this threaded comment; however, any edits to it will get removed if the file is opened in a newer version of Excel. Learn more: https://go.microsoft.com/fwlink/?linkid=870924
Comment:
    More of an identification q as opposed to actually checking? 
True or False:
The null hypothesis of the F-test is that the population variances are equal. 
</t>
      </text>
    </comment>
    <comment ref="G20" authorId="15" shapeId="0" xr:uid="{7165FE41-09D6-475D-8AEF-18AC44C232D3}">
      <text>
        <t>[Threaded comment]
Your version of Excel allows you to read this threaded comment; however, any edits to it will get removed if the file is opened in a newer version of Excel. Learn more: https://go.microsoft.com/fwlink/?linkid=870924
Comment:
    More of an identification q as opposed to actually checking? 
True or False:
The null hypothesis of the Shapiro-Wilks test is that the data do not conform to a theoretical normal distribution.</t>
      </text>
    </comment>
    <comment ref="H20" authorId="16" shapeId="0" xr:uid="{7A85C9A4-2035-47D8-A6B4-07D2AD3E3639}">
      <text>
        <t>[Threaded comment]
Your version of Excel allows you to read this threaded comment; however, any edits to it will get removed if the file is opened in a newer version of Excel. Learn more: https://go.microsoft.com/fwlink/?linkid=870924
Comment:
    More of an identification q as opposed to actually checking? 
For which assumption would we primarily be interested in calculating skewness?</t>
      </text>
    </comment>
    <comment ref="I20" authorId="17" shapeId="0" xr:uid="{AEFC981A-501E-40E3-9232-449CB76E0995}">
      <text>
        <t>[Threaded comment]
Your version of Excel allows you to read this threaded comment; however, any edits to it will get removed if the file is opened in a newer version of Excel. Learn more: https://go.microsoft.com/fwlink/?linkid=870924
Comment:
    no previous question</t>
      </text>
    </comment>
    <comment ref="J20" authorId="18" shapeId="0" xr:uid="{C7B764FE-3BD9-49E5-8356-E4FF7906F8F0}">
      <text>
        <t>[Threaded comment]
Your version of Excel allows you to read this threaded comment; however, any edits to it will get removed if the file is opened in a newer version of Excel. Learn more: https://go.microsoft.com/fwlink/?linkid=870924
Comment:
    no previous question</t>
      </text>
    </comment>
    <comment ref="K20" authorId="19" shapeId="0" xr:uid="{AA8907AC-3248-4042-A061-232FD7D45B2C}">
      <text>
        <t>[Threaded comment]
Your version of Excel allows you to read this threaded comment; however, any edits to it will get removed if the file is opened in a newer version of Excel. Learn more: https://go.microsoft.com/fwlink/?linkid=870924
Comment:
    no previous question</t>
      </text>
    </comment>
    <comment ref="B21" authorId="20" shapeId="0" xr:uid="{DE33A16C-B927-490E-9280-E42AA8207E57}">
      <text>
        <t>[Threaded comment]
Your version of Excel allows you to read this threaded comment; however, any edits to it will get removed if the file is opened in a newer version of Excel. Learn more: https://go.microsoft.com/fwlink/?linkid=870924
Comment:
    Researchers conduct a study into the effect of sleep deprivation on speed of processing in a driving simulator. They ask participants (n=73) to complete a 15 minute driving simulation task. At the end of the task, they ask the participants a series of questions about the events in the simulation. Participants receive a score out of 25 representing the number of questions they get correct. The participants then spend the night in a room controlled by the research team where they are limited to three hours sleep. The next day, they complete the same task and get a second score.
The team want to consider the difference in these scores. Which test is most appropriate?</t>
      </text>
    </comment>
    <comment ref="C21" authorId="21" shapeId="0" xr:uid="{C02EA4FB-6C17-4520-A8E4-BE9C08F7F71D}">
      <text>
        <t>[Threaded comment]
Your version of Excel allows you to read this threaded comment; however, any edits to it will get removed if the file is opened in a newer version of Excel. Learn more: https://go.microsoft.com/fwlink/?linkid=870924
Comment:
    I conduct a Shapiro-Wilk normality test. I find the following results:
W = 0.92115, p-value = 0.105
Assuming an alpha of 0.05, the research team conclude the data are not normal.
True or false, the research team are correct?</t>
      </text>
    </comment>
    <comment ref="D21" authorId="22" shapeId="0" xr:uid="{48F4937C-741B-4867-8D89-1FD9434B6D69}">
      <text>
        <t>[Threaded comment]
Your version of Excel allows you to read this threaded comment; however, any edits to it will get removed if the file is opened in a newer version of Excel. Learn more: https://go.microsoft.com/fwlink/?linkid=870924
Comment:
    I have the following sets of scores from two independent groups of experimental participants.
g1 &lt;- c(10, 12, 13, 14, 13, 6, 7, 15)
g2 &lt;- c(11, 17, 18, 15, 16, 20, 9, 11)
I have a pooled standard deviation across groups of 5.02, and a hypothesised population difference in the means under the null hypothesis of 0.
What is the value of Cohen's D? Report your answer to 2 decimal places</t>
      </text>
    </comment>
    <comment ref="E21" authorId="23" shapeId="0" xr:uid="{1423AF8B-BF0E-474B-B2AC-4F8D7F63D995}">
      <text>
        <t>[Threaded comment]
Your version of Excel allows you to read this threaded comment; however, any edits to it will get removed if the file is opened in a newer version of Excel. Learn more: https://go.microsoft.com/fwlink/?linkid=870924
Comment:
    matching R code to type of t-test - doesn't seem relevant to any skill</t>
      </text>
    </comment>
    <comment ref="F21" authorId="24" shapeId="0" xr:uid="{24F2C963-6C27-4153-89E4-88A7CBD90F23}">
      <text>
        <t>[Threaded comment]
Your version of Excel allows you to read this threaded comment; however, any edits to it will get removed if the file is opened in a newer version of Excel. Learn more: https://go.microsoft.com/fwlink/?linkid=870924
Comment:
    What R command will successfully reshape the dataset 'df' from wide to long format, so that there is one row per time?</t>
      </text>
    </comment>
    <comment ref="G21" authorId="25" shapeId="0" xr:uid="{E6421BF4-1102-4D8A-9728-6A2BDD11E5CF}">
      <text>
        <t>[Threaded comment]
Your version of Excel allows you to read this threaded comment; however, any edits to it will get removed if the file is opened in a newer version of Excel. Learn more: https://go.microsoft.com/fwlink/?linkid=870924
Comment:
    Not really identifying what needs to happen, but instead what will happen:
If I were to reshape my 'df' data so that there was one row per timepoint per participant, how many rows would I expect my dataset to contain?</t>
      </text>
    </comment>
    <comment ref="H21" authorId="26" shapeId="0" xr:uid="{B3C6CCD7-4E0F-43E8-B551-B512F0BFCB4B}">
      <text>
        <t>[Threaded comment]
Your version of Excel allows you to read this threaded comment; however, any edits to it will get removed if the file is opened in a newer version of Excel. Learn more: https://go.microsoft.com/fwlink/?linkid=870924
Comment:
    I run the below code and get this output: [INSERT OUTPUT]. What is the correct summary write-up of the results?</t>
      </text>
    </comment>
    <comment ref="I21" authorId="27" shapeId="0" xr:uid="{D42D32DE-A3C8-49B9-BD9E-804087656429}">
      <text>
        <t>[Threaded comment]
Your version of Excel allows you to read this threaded comment; however, any edits to it will get removed if the file is opened in a newer version of Excel. Learn more: https://go.microsoft.com/fwlink/?linkid=870924
Comment:
    no previous question</t>
      </text>
    </comment>
    <comment ref="J21" authorId="28" shapeId="0" xr:uid="{97BAB747-9209-4A6A-B3D8-BBE08F1C5A0F}">
      <text>
        <t>[Threaded comment]
Your version of Excel allows you to read this threaded comment; however, any edits to it will get removed if the file is opened in a newer version of Excel. Learn more: https://go.microsoft.com/fwlink/?linkid=870924
Comment:
    no previous question</t>
      </text>
    </comment>
    <comment ref="K21" authorId="29" shapeId="0" xr:uid="{6B090969-17E0-4213-B0A7-ECF053131736}">
      <text>
        <t>[Threaded comment]
Your version of Excel allows you to read this threaded comment; however, any edits to it will get removed if the file is opened in a newer version of Excel. Learn more: https://go.microsoft.com/fwlink/?linkid=870924
Comment:
    no previous question</t>
      </text>
    </comment>
    <comment ref="B22" authorId="30" shapeId="0" xr:uid="{491C8C78-77C8-4D79-9321-B9544960E3D3}">
      <text>
        <t>[Threaded comment]
Your version of Excel allows you to read this threaded comment; however, any edits to it will get removed if the file is opened in a newer version of Excel. Learn more: https://go.microsoft.com/fwlink/?linkid=870924
Comment:
    calculating DF</t>
      </text>
    </comment>
    <comment ref="C22" authorId="31" shapeId="0" xr:uid="{B9122E83-0149-49D2-A757-0D4B46EB724A}">
      <text>
        <t>[Threaded comment]
Your version of Excel allows you to read this threaded comment; however, any edits to it will get removed if the file is opened in a newer version of Excel. Learn more: https://go.microsoft.com/fwlink/?linkid=870924
Comment:
    calculating expected frequencies</t>
      </text>
    </comment>
    <comment ref="D22" authorId="32" shapeId="0" xr:uid="{3632B200-8287-495A-9983-BDB650C1F996}">
      <text>
        <t>[Threaded comment]
Your version of Excel allows you to read this threaded comment; however, any edits to it will get removed if the file is opened in a newer version of Excel. Learn more: https://go.microsoft.com/fwlink/?linkid=870924
Comment:
    not calculating effect size, but identification?
Which one of these effect size measures is not appropriate for a Chi-square test?</t>
      </text>
    </comment>
    <comment ref="E22" authorId="33" shapeId="0" xr:uid="{9B5EDCA9-5BAF-4468-99CF-D1DE60D78F67}">
      <text>
        <t>[Threaded comment]
Your version of Excel allows you to read this threaded comment; however, any edits to it will get removed if the file is opened in a newer version of Excel. Learn more: https://go.microsoft.com/fwlink/?linkid=870924
Comment:
    Given a chi-square statistic of 6.83, 4 degrees of freedom and an alpha level of .05, which of the following is the appropriate conclusion to draw?</t>
      </text>
    </comment>
    <comment ref="F22" authorId="34" shapeId="0" xr:uid="{21306015-70DA-485B-B789-CAF7F7B8CA66}">
      <text>
        <t>[Threaded comment]
Your version of Excel allows you to read this threaded comment; however, any edits to it will get removed if the file is opened in a newer version of Excel. Learn more: https://go.microsoft.com/fwlink/?linkid=870924
Comment:
    Which one of the following is not an assumption or data requirement of a chi-square test?</t>
      </text>
    </comment>
    <comment ref="G22" authorId="35" shapeId="0" xr:uid="{AC8AEDD5-3070-4582-B063-5049CFC0E629}">
      <text>
        <t>[Threaded comment]
Your version of Excel allows you to read this threaded comment; however, any edits to it will get removed if the file is opened in a newer version of Excel. Learn more: https://go.microsoft.com/fwlink/?linkid=870924
Comment:
    given output, so not calculating but describing? 
I conduct a chi-square test of independence for a 2x2 study. I then calculate my effect size as below. How would I describe the size of the effect?</t>
      </text>
    </comment>
    <comment ref="H22" authorId="36" shapeId="0" xr:uid="{731B4F55-F394-448B-967F-DF480BDE45A8}">
      <text>
        <t>[Threaded comment]
Your version of Excel allows you to read this threaded comment; however, any edits to it will get removed if the file is opened in a newer version of Excel. Learn more: https://go.microsoft.com/fwlink/?linkid=870924
Comment:
    what happens when observed counts change</t>
      </text>
    </comment>
    <comment ref="I22" authorId="37" shapeId="0" xr:uid="{41767F05-EBA2-4CE5-ABC6-8E366F1467BB}">
      <text>
        <t>[Threaded comment]
Your version of Excel allows you to read this threaded comment; however, any edits to it will get removed if the file is opened in a newer version of Excel. Learn more: https://go.microsoft.com/fwlink/?linkid=870924
Comment:
    lower.tail in calculation of p-value</t>
      </text>
    </comment>
    <comment ref="J22" authorId="38" shapeId="0" xr:uid="{C38835E5-E125-4043-A4FA-43F7A3CC4BCC}">
      <text>
        <t>[Threaded comment]
Your version of Excel allows you to read this threaded comment; however, any edits to it will get removed if the file is opened in a newer version of Excel. Learn more: https://go.microsoft.com/fwlink/?linkid=870924
Comment:
    calculating residuals</t>
      </text>
    </comment>
    <comment ref="K22" authorId="39" shapeId="0" xr:uid="{D669F7D3-F16C-4530-891D-CDBCFED7A7F9}">
      <text>
        <t>[Threaded comment]
Your version of Excel allows you to read this threaded comment; however, any edits to it will get removed if the file is opened in a newer version of Excel. Learn more: https://go.microsoft.com/fwlink/?linkid=870924
Comment:
    independence related</t>
      </text>
    </comment>
  </commentList>
</comments>
</file>

<file path=xl/sharedStrings.xml><?xml version="1.0" encoding="utf-8"?>
<sst xmlns="http://schemas.openxmlformats.org/spreadsheetml/2006/main" count="683" uniqueCount="261">
  <si>
    <t>Cat</t>
  </si>
  <si>
    <t>Skill index</t>
  </si>
  <si>
    <t>Qbank</t>
  </si>
  <si>
    <t>Quiz</t>
  </si>
  <si>
    <t>Tracker</t>
  </si>
  <si>
    <t>Block introduced</t>
  </si>
  <si>
    <t>exam (could)</t>
  </si>
  <si>
    <t>on exam</t>
  </si>
  <si>
    <t>Skill category</t>
  </si>
  <si>
    <t>Skill</t>
  </si>
  <si>
    <t>Assessment-level skill</t>
  </si>
  <si>
    <t>Requires human grading?</t>
  </si>
  <si>
    <t>Who</t>
  </si>
  <si>
    <t>N_NEEDED</t>
  </si>
  <si>
    <t>N_WRITTEN</t>
  </si>
  <si>
    <t>comments</t>
  </si>
  <si>
    <t>y</t>
  </si>
  <si>
    <t>Programming</t>
  </si>
  <si>
    <t>P1</t>
  </si>
  <si>
    <t>I can identify the cause of common error messages in R.</t>
  </si>
  <si>
    <t>N</t>
  </si>
  <si>
    <t>EW</t>
  </si>
  <si>
    <t>P2</t>
  </si>
  <si>
    <t>I can manage libraries/packages in R.</t>
  </si>
  <si>
    <t>P3</t>
  </si>
  <si>
    <t>I can modify the arguments of a given R function to arrive at the desired output.</t>
  </si>
  <si>
    <t>JK</t>
  </si>
  <si>
    <t>Summarising</t>
  </si>
  <si>
    <t>S1</t>
  </si>
  <si>
    <t>I can identify whether a variable is continuous, categorical, or ordinal.</t>
  </si>
  <si>
    <t>?</t>
  </si>
  <si>
    <t>S2</t>
  </si>
  <si>
    <t>I can compute appropriate measure(s) of central tendency for a given variable.</t>
  </si>
  <si>
    <t>S3</t>
  </si>
  <si>
    <t>I can compute appropriate measure(s) of dispersion for a given variable.</t>
  </si>
  <si>
    <t>Visualising</t>
  </si>
  <si>
    <t>V1</t>
  </si>
  <si>
    <t>I can appropriately plot the distribution of a single variable.</t>
  </si>
  <si>
    <t>V2</t>
  </si>
  <si>
    <t>I can customise the appearance of ggplots.</t>
  </si>
  <si>
    <t>EP</t>
  </si>
  <si>
    <t>Analysing</t>
  </si>
  <si>
    <t>A3</t>
  </si>
  <si>
    <t>I can explain what a sampling distribution is.</t>
  </si>
  <si>
    <t>Y</t>
  </si>
  <si>
    <t>A1</t>
  </si>
  <si>
    <t>I can calculate the standard error of the mean for a given sample.</t>
  </si>
  <si>
    <t>A2</t>
  </si>
  <si>
    <t xml:space="preserve">I can compute a 95% confidence interval for the population mean. </t>
  </si>
  <si>
    <t>Inferring</t>
  </si>
  <si>
    <t>I3</t>
  </si>
  <si>
    <t>I can identify how different factors affect the bias and precision of an estimate</t>
  </si>
  <si>
    <t>I4</t>
  </si>
  <si>
    <t>I can identify the difference between a Type I error and a Type II error.</t>
  </si>
  <si>
    <t>I2</t>
  </si>
  <si>
    <t>I can explain how null hypothesis significance testing (NHST) works.</t>
  </si>
  <si>
    <t>I1</t>
  </si>
  <si>
    <t>I can appropriately interpret a 95% confidence interval.</t>
  </si>
  <si>
    <t>P4</t>
  </si>
  <si>
    <t>I can extract specific subsets of a given dataset.</t>
  </si>
  <si>
    <t>Reflecting</t>
  </si>
  <si>
    <t>R1</t>
  </si>
  <si>
    <t>I can write approximately 200 words reflecting on what I experienced and what I learned in DAPR in Semester 1.</t>
  </si>
  <si>
    <t>EW/ALL</t>
  </si>
  <si>
    <t>S4</t>
  </si>
  <si>
    <t>I can transform a variable into z-scores.</t>
  </si>
  <si>
    <t>A6</t>
  </si>
  <si>
    <t>I can implement a given statistical test.</t>
  </si>
  <si>
    <t>A4</t>
  </si>
  <si>
    <t>I can check the assumptions underlying basic statistical tests.</t>
  </si>
  <si>
    <t>A5</t>
  </si>
  <si>
    <t>I can identify the appropriate type of basic statistical test for a given question/design.</t>
  </si>
  <si>
    <t>Communicating</t>
  </si>
  <si>
    <t>C1</t>
  </si>
  <si>
    <t>I can describe the steps taken in a given analysis.</t>
  </si>
  <si>
    <t>~3</t>
  </si>
  <si>
    <t>C2</t>
  </si>
  <si>
    <t>I can describe in writing the results of a given basic statistical test.</t>
  </si>
  <si>
    <t>3?</t>
  </si>
  <si>
    <t>I6</t>
  </si>
  <si>
    <t>I can tell the difference between statistical significance and practical significance.</t>
  </si>
  <si>
    <t>I5</t>
  </si>
  <si>
    <t>I can identify whether I can or cannot reject the null hypothesis.</t>
  </si>
  <si>
    <t>I7</t>
  </si>
  <si>
    <t>I can define appropriate null and alternative hypotheses for a given research question.</t>
  </si>
  <si>
    <t>P5</t>
  </si>
  <si>
    <t>I can wrangle/modify data as required for the given analysis task.</t>
  </si>
  <si>
    <t>factor,mutate,pivot</t>
  </si>
  <si>
    <t>P6</t>
  </si>
  <si>
    <t>I can identify what data wrangling/modifications are required for a given analysis task.</t>
  </si>
  <si>
    <t>S5</t>
  </si>
  <si>
    <t>I can compute measures that summarise how two variables are related</t>
  </si>
  <si>
    <t>V4</t>
  </si>
  <si>
    <t>I can appropriately plot how two variables are related</t>
  </si>
  <si>
    <t>V3</t>
  </si>
  <si>
    <t>I can appropriately describe patterns of data shown in a plot.</t>
  </si>
  <si>
    <t>A10</t>
  </si>
  <si>
    <t>I can represent binary predictors using treatment coding.</t>
  </si>
  <si>
    <t>A7</t>
  </si>
  <si>
    <t>I can use a fitted simple linear model to predict an outcome value for a given predictor value</t>
  </si>
  <si>
    <t>A8</t>
  </si>
  <si>
    <t>I can appropriately interpret the parameters of a simple linear model.</t>
  </si>
  <si>
    <t>A9</t>
  </si>
  <si>
    <t>I can explain how both a t-test and a correlation can be expressed as a linear model.</t>
  </si>
  <si>
    <t>C3</t>
  </si>
  <si>
    <t>I can describe in writing the results of a given simple linear model.</t>
  </si>
  <si>
    <t>I8</t>
  </si>
  <si>
    <t>I can identify the null hypothesis being tested for the parameters of a linear model.</t>
  </si>
  <si>
    <t>R2</t>
  </si>
  <si>
    <t>I can write approximately 200 words reflecting on what I experienced and what I learned in DAPR in Semester 2.</t>
  </si>
  <si>
    <t>R3</t>
  </si>
  <si>
    <t>I can rate my confidence across the set of DAPR1 skills.</t>
  </si>
  <si>
    <t>V5</t>
  </si>
  <si>
    <t xml:space="preserve">I can visually estimate the parameters of a line from a plot. </t>
  </si>
  <si>
    <t>&lt;- want 20</t>
  </si>
  <si>
    <t>QUIZ</t>
  </si>
  <si>
    <t>q01</t>
  </si>
  <si>
    <t>q02</t>
  </si>
  <si>
    <t>q03</t>
  </si>
  <si>
    <t>q04</t>
  </si>
  <si>
    <t>q05</t>
  </si>
  <si>
    <t>q06</t>
  </si>
  <si>
    <t>q07</t>
  </si>
  <si>
    <t>q08</t>
  </si>
  <si>
    <t>q09</t>
  </si>
  <si>
    <t>q10</t>
  </si>
  <si>
    <t>EXAMPLE QUIZ</t>
  </si>
  <si>
    <t>n</t>
  </si>
  <si>
    <t>DAPR1 25-26: Practice Quiz 1</t>
  </si>
  <si>
    <t xml:space="preserve">DAPR1 25-26: Practice Quiz 2 </t>
  </si>
  <si>
    <t>DAPR1 25-26: Categorical Data</t>
  </si>
  <si>
    <t>DAPR1 25-26: Continuous Data</t>
  </si>
  <si>
    <t xml:space="preserve">DAPR1 25-26: Describing relationships </t>
  </si>
  <si>
    <t xml:space="preserve">DAPR1 25-26: Relationships and functions </t>
  </si>
  <si>
    <t>DAPR1 25-26: Probability Theory</t>
  </si>
  <si>
    <t xml:space="preserve">DAPR1 25-26: Probability Rules </t>
  </si>
  <si>
    <t xml:space="preserve">DAPR1 25-26: Random Variables (Discrete) </t>
  </si>
  <si>
    <t xml:space="preserve">DAPR1 25-26: Random Variables (Continuous) </t>
  </si>
  <si>
    <t>DAPR1 25-26: Sampling</t>
  </si>
  <si>
    <t xml:space="preserve">DAPR1 25-26: Confidence Intervals </t>
  </si>
  <si>
    <t xml:space="preserve">DAPR1 25-26: Hypothesis testing (p-values) </t>
  </si>
  <si>
    <t xml:space="preserve">DAPR1 25-26: Hypothesis testing &amp; confidence intervals </t>
  </si>
  <si>
    <t xml:space="preserve">DAPR1 25-26: Connecting HT and CIs </t>
  </si>
  <si>
    <t xml:space="preserve">DAPR1 25-26: Errors, Power, Effect Size, Assumptions </t>
  </si>
  <si>
    <t>DAPR1 25-26: One sample t-test</t>
  </si>
  <si>
    <t>A4?</t>
  </si>
  <si>
    <t>A7?</t>
  </si>
  <si>
    <t>P6?</t>
  </si>
  <si>
    <t xml:space="preserve">DAPR1 25-26: Independent t-test </t>
  </si>
  <si>
    <t>P4?</t>
  </si>
  <si>
    <t>DAPR1 25-26: All t-tests</t>
  </si>
  <si>
    <t xml:space="preserve">DAPR1 25-26: Chi-square tests </t>
  </si>
  <si>
    <t>Block</t>
  </si>
  <si>
    <t>Course-level objectives</t>
  </si>
  <si>
    <t>Lesson-level objectives</t>
  </si>
  <si>
    <t>AutoGradable</t>
  </si>
  <si>
    <t>SkillLevel</t>
  </si>
  <si>
    <t>OnExam</t>
  </si>
  <si>
    <t>Comment</t>
  </si>
  <si>
    <t>make an appropriate decision based on a p-value</t>
  </si>
  <si>
    <t>core</t>
  </si>
  <si>
    <t>IMPORTANT: green font means "Elizabeth has already added this to her Big List of Skills", 
please write new skill ideas in non-green</t>
  </si>
  <si>
    <t>identify a measure of uncertainty in an estimate</t>
  </si>
  <si>
    <t>calculate/estimate a standard error for a single mean</t>
  </si>
  <si>
    <t>construct a confidence interval for a single mean</t>
  </si>
  <si>
    <t>draw a conclusion about a test of a single mean</t>
  </si>
  <si>
    <t>Identify when linear model coefficients are statistically significant.</t>
  </si>
  <si>
    <t xml:space="preserve">JK: curious about whether the "meaning" of model parameters depends on significance? if the above skills changed to "interpret the slope..." then perhaps we don't need these two? 
EP: In my view, the "meaning" of a parameter doesn't change depending on significance, since for me, the "meaning" is its numeric value (estimation)—and then the significance is an additional layer of interpretation (hypothesis testing). (also paves the way in case any of them learn Bayes down the road) </t>
  </si>
  <si>
    <t>Identify the null hypothesis being tested for linear model coefficients.</t>
  </si>
  <si>
    <t>Explain the equivalence between a t-test and a linear model.</t>
  </si>
  <si>
    <t>merit</t>
  </si>
  <si>
    <t>Explain the equivalence between correlation and a linear model.</t>
  </si>
  <si>
    <t>Explain the meaning of the intercept of a linear model with one continuous predictor.</t>
  </si>
  <si>
    <t>Explain the meaning of the slope of a linear model with one continuous predictor.</t>
  </si>
  <si>
    <t>Explain the meaning of the intercept of a linear model with one binary predictor.</t>
  </si>
  <si>
    <t>Explain the meaning of the slope of a linear model with one binary predictor.</t>
  </si>
  <si>
    <t>Reflect on individual learning experience across the course</t>
  </si>
  <si>
    <t>i guess we need this if we want students to do it?</t>
  </si>
  <si>
    <t>Coding</t>
  </si>
  <si>
    <t>Read dataset into R</t>
  </si>
  <si>
    <t>1+</t>
  </si>
  <si>
    <t>Create a new variable in a dataframe</t>
  </si>
  <si>
    <t>Subset a dataframe</t>
  </si>
  <si>
    <t>Filter a dataframe</t>
  </si>
  <si>
    <t>Handle missing values when calculating descriptive statistics</t>
  </si>
  <si>
    <t>Load a library in R</t>
  </si>
  <si>
    <t>As if for a paper/dissertation, describe the data/variables used in a statistical analysis.</t>
  </si>
  <si>
    <t>Plotting</t>
  </si>
  <si>
    <t>Visualise a categorical variable on its own</t>
  </si>
  <si>
    <t>Visualise a continuous variable on its own</t>
  </si>
  <si>
    <t>Visualise the association between two continuous variables</t>
  </si>
  <si>
    <t>UN - Currently correlation is taught in block 4, so where this is taught might be important for the block column here</t>
  </si>
  <si>
    <t>Visualise the association between one continuous and one categorical variable</t>
  </si>
  <si>
    <t>Combine plots using patchwork</t>
  </si>
  <si>
    <t>UN - Probably advanced as a skill, rather than a core one?</t>
  </si>
  <si>
    <t>Numerically summarise a categorical variable</t>
  </si>
  <si>
    <t>Numerically summarise a continuous variable</t>
  </si>
  <si>
    <t>Identify measure(s) of central tendency for a continuous variable [mean, median]</t>
  </si>
  <si>
    <t>Identify measure(s) of dispersion for a continuous variable [sd, variance, IQR]</t>
  </si>
  <si>
    <t>UN - variance should probably not appear there as in unit of measurement ^2</t>
  </si>
  <si>
    <t>Identify measure(s) of central tendency for a categorical variable [mode]</t>
  </si>
  <si>
    <t>UN - nominal variable, rather than categorical</t>
  </si>
  <si>
    <t>Identify measure(s) of central tendency for an ordinal variable [mode]</t>
  </si>
  <si>
    <t>UN - both mode and median are acceptable</t>
  </si>
  <si>
    <t>Identify measure(s) of dispersion for an ordinal variable [IQR]</t>
  </si>
  <si>
    <t>Identify a situation in which a variable's mean and median would differ [skewed distribution]</t>
  </si>
  <si>
    <t>Numerically summarise the association between two continuous variables</t>
  </si>
  <si>
    <t>UN - currently taught in block 4, where this is taught might inform the block column</t>
  </si>
  <si>
    <t>Numerically summarise the association between two categorical variables</t>
  </si>
  <si>
    <t>Numerically summarise the association between one continuous and one categorical variable</t>
  </si>
  <si>
    <t>Explain the relationship between covariance and correlation.</t>
  </si>
  <si>
    <t>Identify measure(s) of association between two continuous variables [cov, cor, r^2]</t>
  </si>
  <si>
    <t>Explain what a sampling distribution is.</t>
  </si>
  <si>
    <t>2+</t>
  </si>
  <si>
    <t>Explain what a standard error is.</t>
  </si>
  <si>
    <t>Explain the process of NHST.</t>
  </si>
  <si>
    <t>Explain what a confidence interval is.</t>
  </si>
  <si>
    <t>Explain what a p-value is.</t>
  </si>
  <si>
    <t>Explain the difference between practical and statistical significance.</t>
  </si>
  <si>
    <t>Format an analysis write-up using Rmarkdown or Quarto markdown</t>
  </si>
  <si>
    <t>Name a test that examines if the mean of a continuous variable differs between two groups.</t>
  </si>
  <si>
    <t>3+</t>
  </si>
  <si>
    <t>JK: are these all either "name" or "conduct", or are we wanting both?</t>
  </si>
  <si>
    <t>Conduct a test to examine if the mean of a continuous variable differs between two groups.</t>
  </si>
  <si>
    <t>UN - for this and the above one, both independent samples t-test and Welch t-test are accepted right?</t>
  </si>
  <si>
    <t>Name a test that examines if the mean of a continuous variable differs from a pre-specified value.</t>
  </si>
  <si>
    <t>Conduct a test to examine if the mean of a continuous variable differs from a pre-specified value.</t>
  </si>
  <si>
    <t>Name a test that examines if two continuous variables are associated with one another.</t>
  </si>
  <si>
    <t>Conduct a test to examine if two continuous variables are associated with one another.</t>
  </si>
  <si>
    <t>Name a test that examines if a categorical variable differs from a pre-specified distribution.</t>
  </si>
  <si>
    <t>Conduct a test to examine if a categorical variable differs from a pre-specified distribution.</t>
  </si>
  <si>
    <t>Name a test that examines if two categorical variables are associated with one another.</t>
  </si>
  <si>
    <t>Conduct a test to examine if two categorical variables are associated with one another.</t>
  </si>
  <si>
    <t>Format an analysis write-up following APA guidelines</t>
  </si>
  <si>
    <t>As if for a paper/dissertation, describe the statistical test used in an analysis.</t>
  </si>
  <si>
    <t>As if for a paper/dissertation, describe the results of a statistical analysis.</t>
  </si>
  <si>
    <t xml:space="preserve">As if for a paper/dissertation, summarise the take-home message of a statistical analysis. </t>
  </si>
  <si>
    <t>Explain the results of a one-sample t-test.</t>
  </si>
  <si>
    <t xml:space="preserve">JK: "explain"? or "report on" (or something else)? (or is that captured in the write-up skills? how about just "interpret"? 
EP: "Interpret" is too vague IMO, the outcome could be so many things, so I opted for a more specific verb ("explain"/"identify"). "report on" should be captured in write-up skills. we can change "explain" to a lower-cognition verb if we want, so that we can auto-grade these skills: "identify the correct interpretation of X" maybe? </t>
  </si>
  <si>
    <t>Explain the results of a two-sample t-test.</t>
  </si>
  <si>
    <t>Explain the results of a correlation test.</t>
  </si>
  <si>
    <t>Explain the results of a chi-squared goodness-of-fit test.</t>
  </si>
  <si>
    <t>EW: does this include examining/interpreting residuals?</t>
  </si>
  <si>
    <t>Explain the results of a chi-squared test of independence.</t>
  </si>
  <si>
    <t>Identify measure(s) of association between one continuous and one categorical variable [r^2, mean diff]</t>
  </si>
  <si>
    <t>Solve a coding problem using documentation</t>
  </si>
  <si>
    <t>Identify the source of common error messages</t>
  </si>
  <si>
    <t>Reload a library in R</t>
  </si>
  <si>
    <t>UN - load a library in R</t>
  </si>
  <si>
    <t>Install a package in R</t>
  </si>
  <si>
    <t>Customise a ggplot [labs, colour, fill, font]</t>
  </si>
  <si>
    <t>inferring</t>
  </si>
  <si>
    <t>determine when a correlation coefficient is an inappropriate or misleading measure of a relationship</t>
  </si>
  <si>
    <t>very much a "maybe?". UN - this is a very good suggestion, keep it.</t>
  </si>
  <si>
    <t>identify when weak correlation may be due to restriction of range</t>
  </si>
  <si>
    <t xml:space="preserve">don't like how i've phrased this, but wondered if we wanted a restriction of range thing in there? </t>
  </si>
  <si>
    <t>explain how the overlap of two CIs maps to (or doesn't map to) significance in the test of the difference between two means?</t>
  </si>
  <si>
    <t>draw appropriate conclusions from a non-significant p value</t>
  </si>
  <si>
    <t xml:space="preserve">i wanted a skill for the whole "absence of evidence != evidence of absence" idea.. </t>
  </si>
  <si>
    <t>i can descriptively summarise a visualisation</t>
  </si>
  <si>
    <t xml:space="preserve">not sure if missing, but flagging just in case: assumption checks, effect size,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</si>
</sst>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1"/>
      <color theme="9"/>
      <name val="Calibri"/>
      <family val="2"/>
      <scheme val="minor"/>
    </font>
    <font>
      <sz val="11"/>
      <color rgb="FFFF0000"/>
      <name val="Calibri"/>
      <family val="2"/>
      <scheme val="minor"/>
    </font>
    <font>
      <sz val="11"/>
      <color rgb="FFFF0000"/>
      <name val="Calibri"/>
      <scheme val="minor"/>
    </font>
    <font>
      <i/>
      <sz val="11"/>
      <color rgb="FFC00000"/>
      <name val="Calibri"/>
      <family val="2"/>
      <scheme val="minor"/>
    </font>
    <font>
      <b/>
      <sz val="11"/>
      <color rgb="FF000000"/>
      <name val="Calibri"/>
      <family val="2"/>
    </font>
    <font>
      <sz val="11"/>
      <color rgb="FF000000"/>
      <name val="Calibri"/>
      <family val="2"/>
    </font>
    <font>
      <sz val="11"/>
      <color rgb="FF000000"/>
      <name val="Calibri"/>
      <family val="2"/>
      <scheme val="minor"/>
    </font>
    <font>
      <sz val="11"/>
      <color rgb="FF000000"/>
      <name val="Calibri"/>
      <scheme val="minor"/>
    </font>
    <font>
      <sz val="11"/>
      <color theme="9" tint="-0.249977111117893"/>
      <name val="Calibri"/>
      <family val="2"/>
      <scheme val="minor"/>
    </font>
  </fonts>
  <fills count="2">
    <fill>
      <patternFill patternType="none"/>
    </fill>
    <fill>
      <patternFill patternType="gray125"/>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0" fontId="0" fillId="0" borderId="0" xfId="0" applyAlignment="1">
      <alignment wrapText="1"/>
    </xf>
    <xf numFmtId="0" fontId="2" fillId="0" borderId="0" xfId="0" applyFont="1"/>
    <xf numFmtId="0" fontId="2" fillId="0" borderId="0" xfId="0" applyFont="1" applyAlignment="1">
      <alignment horizontal="left"/>
    </xf>
    <xf numFmtId="0" fontId="1" fillId="0" borderId="0" xfId="0" applyFont="1" applyAlignment="1">
      <alignment wrapText="1"/>
    </xf>
    <xf numFmtId="0" fontId="0" fillId="0" borderId="1" xfId="0" applyBorder="1"/>
    <xf numFmtId="0" fontId="0" fillId="0" borderId="2" xfId="0" applyBorder="1"/>
    <xf numFmtId="0" fontId="1" fillId="0" borderId="2" xfId="0" applyFont="1" applyBorder="1"/>
    <xf numFmtId="0" fontId="1" fillId="0" borderId="3" xfId="0" applyFont="1" applyBorder="1"/>
    <xf numFmtId="0" fontId="0" fillId="0" borderId="4" xfId="0" applyBorder="1"/>
    <xf numFmtId="0" fontId="1" fillId="0" borderId="5" xfId="0" applyFont="1" applyBorder="1"/>
    <xf numFmtId="0" fontId="0" fillId="0" borderId="6" xfId="0" applyBorder="1"/>
    <xf numFmtId="0" fontId="0" fillId="0" borderId="7" xfId="0" applyBorder="1"/>
    <xf numFmtId="0" fontId="1" fillId="0" borderId="7" xfId="0" applyFont="1" applyBorder="1"/>
    <xf numFmtId="0" fontId="1" fillId="0" borderId="8" xfId="0" applyFont="1" applyBorder="1"/>
    <xf numFmtId="0" fontId="3" fillId="0" borderId="0" xfId="0" applyFont="1"/>
    <xf numFmtId="0" fontId="4" fillId="0" borderId="0" xfId="0" applyFont="1"/>
    <xf numFmtId="0" fontId="0" fillId="0" borderId="0" xfId="0" applyAlignment="1">
      <alignment horizontal="center"/>
    </xf>
    <xf numFmtId="0" fontId="5" fillId="0" borderId="0" xfId="0" applyFont="1"/>
    <xf numFmtId="0" fontId="6" fillId="0" borderId="9" xfId="0" applyFont="1" applyBorder="1"/>
    <xf numFmtId="0" fontId="7" fillId="0" borderId="9" xfId="0" applyFont="1" applyBorder="1" applyAlignment="1">
      <alignment horizontal="center"/>
    </xf>
    <xf numFmtId="0" fontId="8" fillId="0" borderId="0" xfId="0" applyFont="1"/>
    <xf numFmtId="0" fontId="1" fillId="0" borderId="0" xfId="0" applyFont="1" applyAlignment="1">
      <alignment horizontal="center" wrapText="1"/>
    </xf>
    <xf numFmtId="0" fontId="5" fillId="0" borderId="0" xfId="0" applyFont="1" applyAlignment="1">
      <alignment horizontal="center"/>
    </xf>
    <xf numFmtId="0" fontId="9" fillId="0" borderId="0" xfId="0" applyFont="1"/>
    <xf numFmtId="0" fontId="10" fillId="0" borderId="0" xfId="0" applyFont="1"/>
    <xf numFmtId="0" fontId="10" fillId="0" borderId="0" xfId="0" applyFont="1" applyAlignment="1">
      <alignment horizontal="center"/>
    </xf>
    <xf numFmtId="0" fontId="8" fillId="0" borderId="0" xfId="0" applyFont="1" applyAlignment="1">
      <alignment horizontal="center"/>
    </xf>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Emma Waterston" id="{776357D7-7A50-4C0C-9DBA-DC73AC6C6554}" userId="S::ewaterst@ed.ac.uk::335e3d4e-f559-4deb-92cd-30933bf457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9" dT="2026-05-28T13:07:13.04" personId="{776357D7-7A50-4C0C-9DBA-DC73AC6C6554}" id="{CFCA6255-CFF0-41B7-8D0B-8B797A6BEB11}">
    <text>identification as opposed to doing:
At what level of measurement does the DV (variable compared across groups) need to be for a t-test?</text>
  </threadedComment>
  <threadedComment ref="C19" dT="2026-05-28T13:07:44.25" personId="{776357D7-7A50-4C0C-9DBA-DC73AC6C6554}" id="{768A7103-E269-4106-B6D5-E1855F0461CB}">
    <text>True or false. The shape of the t-distribution is governed by the size of the test statistic?</text>
  </threadedComment>
  <threadedComment ref="D19" dT="2026-05-28T13:08:28.55" personId="{776357D7-7A50-4C0C-9DBA-DC73AC6C6554}" id="{22367374-D50D-4E94-AD07-BB4CD58F6E85}">
    <text>not a great assumption plotting related q?
True or False, we can test for the independence of observation using a qqplot?</text>
  </threadedComment>
  <threadedComment ref="E19" dT="2026-05-28T13:09:05.27" personId="{776357D7-7A50-4C0C-9DBA-DC73AC6C6554}" id="{FA9ACF82-19BB-4186-8F92-AC6B164027D3}">
    <text>I want to know whether my sample differs from the hypothesised mean value of 17 (μ0). My sample data is:
[18,23,19,24,13,21]
What is the value of my t-statistic? Report your answer to 2 decimal places</text>
  </threadedComment>
  <threadedComment ref="F19" dT="2026-05-28T13:09:23.45" personId="{776357D7-7A50-4C0C-9DBA-DC73AC6C6554}" id="{7711C61B-3B71-4F60-848B-6491624FF06C}">
    <text>calculating upper critical value</text>
  </threadedComment>
  <threadedComment ref="G19" dT="2026-05-28T13:09:34.88" personId="{776357D7-7A50-4C0C-9DBA-DC73AC6C6554}" id="{3005D3CA-5C55-456E-B088-F2B0DF8312C5}">
    <text>calculating df</text>
  </threadedComment>
  <threadedComment ref="H19" dT="2026-05-28T13:10:14.61" personId="{776357D7-7A50-4C0C-9DBA-DC73AC6C6554}" id="{E72F6EB5-1409-42B1-B6CC-5F9C29AA6DA5}">
    <text>given output, so not calculating but describing?
I check my effect size using Cohen's D, and get the following output. Which of the following labels best describes my effect size?</text>
  </threadedComment>
  <threadedComment ref="I19" dT="2026-05-28T13:11:22.02" personId="{776357D7-7A50-4C0C-9DBA-DC73AC6C6554}" id="{54CE1BCD-040B-4E13-901E-43DE8C91F402}">
    <text>I want to test the following hypothesis:
μ ≠ μ0
When running my t-test in R, what do I need to specify for the argument "alternative = "?</text>
  </threadedComment>
  <threadedComment ref="J19" dT="2026-05-28T13:11:40.01" personId="{776357D7-7A50-4C0C-9DBA-DC73AC6C6554}" id="{91836D8A-A7B6-48CE-ACA7-DFA33505F3D2}">
    <text>no previous question</text>
  </threadedComment>
  <threadedComment ref="K19" dT="2026-05-28T13:11:44.37" personId="{776357D7-7A50-4C0C-9DBA-DC73AC6C6554}" id="{F23CB43E-BF27-4974-93CA-693E086A467A}">
    <text>no previous question</text>
  </threadedComment>
  <threadedComment ref="B20" dT="2026-05-28T12:57:19.68" personId="{776357D7-7A50-4C0C-9DBA-DC73AC6C6554}" id="{29A5CFC7-A798-48AE-B121-00846EE159E9}">
    <text>A researcher conducts a study in which two groups are compared in their performance on a eye-tracking task. Group 1 has 18 participants. Group 2 has 23 participants. The researcher conducts the appropriate t-test for this data and calculates a t-statistic of 2.87. A priori the researcher has decided to use a two-tailed test with alpha = .05. 
Given the information above, which of the following conclusions is correct?</text>
  </threadedComment>
  <threadedComment ref="C20" dT="2026-05-28T13:04:07.54" personId="{776357D7-7A50-4C0C-9DBA-DC73AC6C6554}" id="{65BE8153-25A4-4A81-B676-06383E0740B2}">
    <text>calculating upper critical value</text>
  </threadedComment>
  <threadedComment ref="D20" dT="2026-05-28T13:04:21.88" personId="{776357D7-7A50-4C0C-9DBA-DC73AC6C6554}" id="{2EC034CB-EB76-4365-BE1C-DE50BB496133}">
    <text>given data whether a welch test is required</text>
  </threadedComment>
  <threadedComment ref="E20" dT="2026-05-28T12:57:00.57" personId="{776357D7-7A50-4C0C-9DBA-DC73AC6C6554}" id="{48FDDDBD-E6BA-4A72-B274-3A9E0FBBAC4B}">
    <text>modification of conf.level argument:
A researcher wants to conduct an independent sample t-test with 99% confidence intervals. Which of the following should they specify in their t.test statement?
conf.level = 0.99
conf.level = 0.01
conf.level = 99
conf.level = 0.09</text>
  </threadedComment>
  <threadedComment ref="F20" dT="2026-05-28T12:56:11.33" personId="{776357D7-7A50-4C0C-9DBA-DC73AC6C6554}" id="{4CC4DA89-5BBB-4F62-8F73-4BEF5013A394}">
    <text xml:space="preserve">More of an identification q as opposed to actually checking? 
True or False:
The null hypothesis of the F-test is that the population variances are equal. 
</text>
  </threadedComment>
  <threadedComment ref="G20" dT="2026-05-28T12:55:40.36" personId="{776357D7-7A50-4C0C-9DBA-DC73AC6C6554}" id="{7165FE41-09D6-475D-8AEF-18AC44C232D3}">
    <text>More of an identification q as opposed to actually checking? 
True or False:
The null hypothesis of the Shapiro-Wilks test is that the data do not conform to a theoretical normal distribution.</text>
  </threadedComment>
  <threadedComment ref="H20" dT="2026-05-28T12:55:23.62" personId="{776357D7-7A50-4C0C-9DBA-DC73AC6C6554}" id="{7A85C9A4-2035-47D8-A6B4-07D2AD3E3639}">
    <text>More of an identification q as opposed to actually checking? 
For which assumption would we primarily be interested in calculating skewness?</text>
  </threadedComment>
  <threadedComment ref="I20" dT="2026-05-28T13:05:12.71" personId="{776357D7-7A50-4C0C-9DBA-DC73AC6C6554}" id="{AEFC981A-501E-40E3-9232-449CB76E0995}">
    <text>no previous question</text>
  </threadedComment>
  <threadedComment ref="J20" dT="2026-05-28T13:05:43.93" personId="{776357D7-7A50-4C0C-9DBA-DC73AC6C6554}" id="{C7B764FE-3BD9-49E5-8356-E4FF7906F8F0}">
    <text>no previous question</text>
  </threadedComment>
  <threadedComment ref="K20" dT="2026-05-28T13:05:49.02" personId="{776357D7-7A50-4C0C-9DBA-DC73AC6C6554}" id="{AA8907AC-3248-4042-A061-232FD7D45B2C}">
    <text>no previous question</text>
  </threadedComment>
  <threadedComment ref="B21" dT="2026-05-28T12:58:03.60" personId="{776357D7-7A50-4C0C-9DBA-DC73AC6C6554}" id="{DE33A16C-B927-490E-9280-E42AA8207E57}">
    <text>Researchers conduct a study into the effect of sleep deprivation on speed of processing in a driving simulator. They ask participants (n=73) to complete a 15 minute driving simulation task. At the end of the task, they ask the participants a series of questions about the events in the simulation. Participants receive a score out of 25 representing the number of questions they get correct. The participants then spend the night in a room controlled by the research team where they are limited to three hours sleep. The next day, they complete the same task and get a second score.
The team want to consider the difference in these scores. Which test is most appropriate?</text>
  </threadedComment>
  <threadedComment ref="C21" dT="2026-05-28T12:58:22.33" personId="{776357D7-7A50-4C0C-9DBA-DC73AC6C6554}" id="{C02EA4FB-6C17-4520-A8E4-BE9C08F7F71D}">
    <text>I conduct a Shapiro-Wilk normality test. I find the following results:
W = 0.92115, p-value = 0.105
Assuming an alpha of 0.05, the research team conclude the data are not normal.
True or false, the research team are correct?</text>
  </threadedComment>
  <threadedComment ref="D21" dT="2026-05-28T12:58:33.84" personId="{776357D7-7A50-4C0C-9DBA-DC73AC6C6554}" id="{48F4937C-741B-4867-8D89-1FD9434B6D69}">
    <text>I have the following sets of scores from two independent groups of experimental participants.
g1 &lt;- c(10, 12, 13, 14, 13, 6, 7, 15)
g2 &lt;- c(11, 17, 18, 15, 16, 20, 9, 11)
I have a pooled standard deviation across groups of 5.02, and a hypothesised population difference in the means under the null hypothesis of 0.
What is the value of Cohen's D? Report your answer to 2 decimal places</text>
  </threadedComment>
  <threadedComment ref="E21" dT="2026-05-28T12:58:59.46" personId="{776357D7-7A50-4C0C-9DBA-DC73AC6C6554}" id="{1423AF8B-BF0E-474B-B2AC-4F8D7F63D995}">
    <text>matching R code to type of t-test - doesn't seem relevant to any skill</text>
  </threadedComment>
  <threadedComment ref="F21" dT="2026-05-28T12:59:14.31" personId="{776357D7-7A50-4C0C-9DBA-DC73AC6C6554}" id="{24F2C963-6C27-4153-89E4-88A7CBD90F23}">
    <text>What R command will successfully reshape the dataset 'df' from wide to long format, so that there is one row per time?</text>
  </threadedComment>
  <threadedComment ref="G21" dT="2026-05-28T12:59:52.46" personId="{776357D7-7A50-4C0C-9DBA-DC73AC6C6554}" id="{E6421BF4-1102-4D8A-9728-6A2BDD11E5CF}">
    <text>Not really identifying what needs to happen, but instead what will happen:
If I were to reshape my 'df' data so that there was one row per timepoint per participant, how many rows would I expect my dataset to contain?</text>
  </threadedComment>
  <threadedComment ref="H21" dT="2026-05-28T13:00:15.73" personId="{776357D7-7A50-4C0C-9DBA-DC73AC6C6554}" id="{B3C6CCD7-4E0F-43E8-B551-B512F0BFCB4B}">
    <text>I run the below code and get this output: [INSERT OUTPUT]. What is the correct summary write-up of the results?</text>
  </threadedComment>
  <threadedComment ref="I21" dT="2026-05-28T13:05:21.90" personId="{776357D7-7A50-4C0C-9DBA-DC73AC6C6554}" id="{D42D32DE-A3C8-49B9-BD9E-804087656429}">
    <text>no previous question</text>
  </threadedComment>
  <threadedComment ref="J21" dT="2026-05-28T13:05:53.35" personId="{776357D7-7A50-4C0C-9DBA-DC73AC6C6554}" id="{97BAB747-9209-4A6A-B3D8-BBE08F1C5A0F}">
    <text>no previous question</text>
  </threadedComment>
  <threadedComment ref="K21" dT="2026-05-28T13:05:58.41" personId="{776357D7-7A50-4C0C-9DBA-DC73AC6C6554}" id="{6B090969-17E0-4213-B0A7-ECF053131736}">
    <text>no previous question</text>
  </threadedComment>
  <threadedComment ref="B22" dT="2026-05-28T13:00:35.73" personId="{776357D7-7A50-4C0C-9DBA-DC73AC6C6554}" id="{491C8C78-77C8-4D79-9321-B9544960E3D3}">
    <text>calculating DF</text>
  </threadedComment>
  <threadedComment ref="C22" dT="2026-05-28T13:00:52.92" personId="{776357D7-7A50-4C0C-9DBA-DC73AC6C6554}" id="{B9122E83-0149-49D2-A757-0D4B46EB724A}">
    <text>calculating expected frequencies</text>
  </threadedComment>
  <threadedComment ref="D22" dT="2026-05-28T13:01:19.28" personId="{776357D7-7A50-4C0C-9DBA-DC73AC6C6554}" id="{3632B200-8287-495A-9983-BDB650C1F996}">
    <text>not calculating effect size, but identification?
Which one of these effect size measures is not appropriate for a Chi-square test?</text>
  </threadedComment>
  <threadedComment ref="E22" dT="2026-05-28T13:01:28.61" personId="{776357D7-7A50-4C0C-9DBA-DC73AC6C6554}" id="{9B5EDCA9-5BAF-4468-99CF-D1DE60D78F67}">
    <text>Given a chi-square statistic of 6.83, 4 degrees of freedom and an alpha level of .05, which of the following is the appropriate conclusion to draw?</text>
  </threadedComment>
  <threadedComment ref="F22" dT="2026-05-28T13:01:49.56" personId="{776357D7-7A50-4C0C-9DBA-DC73AC6C6554}" id="{21306015-70DA-485B-B789-CAF7F7B8CA66}">
    <text>Which one of the following is not an assumption or data requirement of a chi-square test?</text>
  </threadedComment>
  <threadedComment ref="G22" dT="2026-05-28T13:02:24.83" personId="{776357D7-7A50-4C0C-9DBA-DC73AC6C6554}" id="{AC8AEDD5-3070-4582-B063-5049CFC0E629}">
    <text>given output, so not calculating but describing? 
I conduct a chi-square test of independence for a 2x2 study. I then calculate my effect size as below. How would I describe the size of the effect?</text>
  </threadedComment>
  <threadedComment ref="H22" dT="2026-05-28T13:02:47.24" personId="{776357D7-7A50-4C0C-9DBA-DC73AC6C6554}" id="{731B4F55-F394-448B-967F-DF480BDE45A8}">
    <text>what happens when observed counts change</text>
  </threadedComment>
  <threadedComment ref="I22" dT="2026-05-28T13:03:11.56" personId="{776357D7-7A50-4C0C-9DBA-DC73AC6C6554}" id="{41767F05-EBA2-4CE5-ABC6-8E366F1467BB}">
    <text>lower.tail in calculation of p-value</text>
  </threadedComment>
  <threadedComment ref="J22" dT="2026-05-28T13:03:25.49" personId="{776357D7-7A50-4C0C-9DBA-DC73AC6C6554}" id="{C38835E5-E125-4043-A4FA-43F7A3CC4BCC}">
    <text>calculating residuals</text>
  </threadedComment>
  <threadedComment ref="K22" dT="2026-05-28T13:03:45.97" personId="{776357D7-7A50-4C0C-9DBA-DC73AC6C6554}" id="{D669F7D3-F16C-4530-891D-CDBCFED7A7F9}">
    <text>independence related</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1170-1F00-444B-B5F3-2287951815BA}">
  <dimension ref="A1:P43"/>
  <sheetViews>
    <sheetView tabSelected="1" topLeftCell="A12" workbookViewId="0">
      <selection activeCell="K36" sqref="K36"/>
    </sheetView>
  </sheetViews>
  <sheetFormatPr defaultRowHeight="15"/>
  <cols>
    <col min="1" max="1" width="5.140625" customWidth="1"/>
    <col min="3" max="3" width="9.140625" style="20"/>
    <col min="4" max="4" width="6" style="20" customWidth="1"/>
    <col min="5" max="5" width="8.28515625" style="20" customWidth="1"/>
    <col min="6" max="6" width="16.28515625" bestFit="1" customWidth="1"/>
    <col min="7" max="7" width="9.7109375" hidden="1" customWidth="1"/>
    <col min="8" max="8" width="9.7109375" customWidth="1"/>
    <col min="9" max="9" width="19.28515625" customWidth="1"/>
    <col min="10" max="10" width="9.28515625" style="20" customWidth="1"/>
    <col min="11" max="11" width="98.42578125" customWidth="1"/>
    <col min="12" max="12" width="12.85546875" customWidth="1"/>
    <col min="13" max="13" width="8.42578125" customWidth="1"/>
    <col min="14" max="14" width="9.85546875" style="20" customWidth="1"/>
    <col min="15" max="15" width="10.28515625" style="20" customWidth="1"/>
    <col min="16" max="16" width="16.42578125" customWidth="1"/>
    <col min="17" max="22" width="5.42578125" customWidth="1"/>
    <col min="23" max="23" width="15.28515625" bestFit="1" customWidth="1"/>
  </cols>
  <sheetData>
    <row r="1" spans="1:16" s="7" customFormat="1" ht="26.25" customHeight="1">
      <c r="A1" s="7" t="s">
        <v>0</v>
      </c>
      <c r="B1" s="7" t="s">
        <v>1</v>
      </c>
      <c r="C1" s="25" t="s">
        <v>2</v>
      </c>
      <c r="D1" s="25" t="s">
        <v>3</v>
      </c>
      <c r="E1" s="25" t="s">
        <v>4</v>
      </c>
      <c r="F1" s="7" t="s">
        <v>5</v>
      </c>
      <c r="G1" s="7" t="s">
        <v>6</v>
      </c>
      <c r="H1" s="7" t="s">
        <v>7</v>
      </c>
      <c r="I1" s="7" t="s">
        <v>8</v>
      </c>
      <c r="J1" s="25" t="s">
        <v>9</v>
      </c>
      <c r="K1" s="7" t="s">
        <v>10</v>
      </c>
      <c r="L1" s="7" t="s">
        <v>11</v>
      </c>
      <c r="M1" s="7" t="s">
        <v>12</v>
      </c>
      <c r="N1" s="25" t="s">
        <v>13</v>
      </c>
      <c r="O1" s="25" t="s">
        <v>14</v>
      </c>
      <c r="P1" s="7" t="s">
        <v>15</v>
      </c>
    </row>
    <row r="2" spans="1:16">
      <c r="A2">
        <v>1</v>
      </c>
      <c r="B2">
        <v>1</v>
      </c>
      <c r="C2" s="20" t="s">
        <v>16</v>
      </c>
      <c r="D2" s="20" t="s">
        <v>16</v>
      </c>
      <c r="E2" s="20" t="s">
        <v>16</v>
      </c>
      <c r="F2">
        <v>1</v>
      </c>
      <c r="G2">
        <v>0</v>
      </c>
      <c r="H2">
        <v>0</v>
      </c>
      <c r="I2" t="s">
        <v>17</v>
      </c>
      <c r="J2" s="20" t="s">
        <v>18</v>
      </c>
      <c r="K2" t="s">
        <v>19</v>
      </c>
      <c r="L2" t="s">
        <v>20</v>
      </c>
      <c r="M2" t="s">
        <v>21</v>
      </c>
      <c r="O2" s="20">
        <v>5</v>
      </c>
    </row>
    <row r="3" spans="1:16">
      <c r="A3">
        <v>1</v>
      </c>
      <c r="B3">
        <v>2</v>
      </c>
      <c r="C3" s="20" t="s">
        <v>16</v>
      </c>
      <c r="D3" s="20" t="s">
        <v>16</v>
      </c>
      <c r="E3" s="20" t="s">
        <v>16</v>
      </c>
      <c r="F3">
        <v>1</v>
      </c>
      <c r="G3">
        <v>0</v>
      </c>
      <c r="H3">
        <v>0</v>
      </c>
      <c r="I3" t="s">
        <v>17</v>
      </c>
      <c r="J3" s="20" t="s">
        <v>22</v>
      </c>
      <c r="K3" t="s">
        <v>23</v>
      </c>
      <c r="L3" t="s">
        <v>20</v>
      </c>
      <c r="M3" t="s">
        <v>21</v>
      </c>
      <c r="O3" s="20">
        <v>5</v>
      </c>
    </row>
    <row r="4" spans="1:16">
      <c r="A4">
        <v>1</v>
      </c>
      <c r="B4">
        <v>6</v>
      </c>
      <c r="C4" s="20" t="s">
        <v>16</v>
      </c>
      <c r="D4" s="20" t="s">
        <v>16</v>
      </c>
      <c r="E4" s="20" t="s">
        <v>16</v>
      </c>
      <c r="F4">
        <v>1</v>
      </c>
      <c r="G4">
        <v>0</v>
      </c>
      <c r="H4">
        <v>0</v>
      </c>
      <c r="I4" t="s">
        <v>17</v>
      </c>
      <c r="J4" s="20" t="s">
        <v>24</v>
      </c>
      <c r="K4" t="s">
        <v>25</v>
      </c>
      <c r="L4" t="s">
        <v>20</v>
      </c>
      <c r="M4" t="s">
        <v>26</v>
      </c>
      <c r="O4" s="20">
        <v>5</v>
      </c>
    </row>
    <row r="5" spans="1:16">
      <c r="A5">
        <v>2</v>
      </c>
      <c r="B5">
        <v>10</v>
      </c>
      <c r="C5" s="20" t="s">
        <v>16</v>
      </c>
      <c r="D5" s="20" t="s">
        <v>16</v>
      </c>
      <c r="E5" s="20" t="s">
        <v>16</v>
      </c>
      <c r="F5">
        <v>1</v>
      </c>
      <c r="G5">
        <v>1</v>
      </c>
      <c r="H5">
        <v>1</v>
      </c>
      <c r="I5" t="s">
        <v>27</v>
      </c>
      <c r="J5" s="20" t="s">
        <v>28</v>
      </c>
      <c r="K5" t="s">
        <v>29</v>
      </c>
      <c r="L5" t="s">
        <v>20</v>
      </c>
      <c r="M5" t="s">
        <v>26</v>
      </c>
      <c r="O5" s="20">
        <v>5</v>
      </c>
    </row>
    <row r="6" spans="1:16">
      <c r="A6">
        <v>2</v>
      </c>
      <c r="B6">
        <v>8</v>
      </c>
      <c r="C6" s="20" t="s">
        <v>16</v>
      </c>
      <c r="D6" s="20" t="s">
        <v>16</v>
      </c>
      <c r="E6" s="20" t="s">
        <v>16</v>
      </c>
      <c r="F6">
        <v>1</v>
      </c>
      <c r="G6" t="s">
        <v>30</v>
      </c>
      <c r="H6">
        <v>1</v>
      </c>
      <c r="I6" t="s">
        <v>27</v>
      </c>
      <c r="J6" s="20" t="s">
        <v>31</v>
      </c>
      <c r="K6" t="s">
        <v>32</v>
      </c>
      <c r="L6" t="s">
        <v>20</v>
      </c>
      <c r="M6" t="s">
        <v>21</v>
      </c>
      <c r="O6" s="20">
        <v>7</v>
      </c>
    </row>
    <row r="7" spans="1:16">
      <c r="A7">
        <v>2</v>
      </c>
      <c r="B7">
        <v>9</v>
      </c>
      <c r="C7" s="20" t="s">
        <v>16</v>
      </c>
      <c r="D7" s="20" t="s">
        <v>16</v>
      </c>
      <c r="E7" s="20" t="s">
        <v>16</v>
      </c>
      <c r="F7">
        <v>1</v>
      </c>
      <c r="G7" t="s">
        <v>30</v>
      </c>
      <c r="H7">
        <v>1</v>
      </c>
      <c r="I7" t="s">
        <v>27</v>
      </c>
      <c r="J7" s="20" t="s">
        <v>33</v>
      </c>
      <c r="K7" t="s">
        <v>34</v>
      </c>
      <c r="L7" t="s">
        <v>20</v>
      </c>
      <c r="M7" t="s">
        <v>21</v>
      </c>
      <c r="O7" s="20">
        <v>7</v>
      </c>
    </row>
    <row r="8" spans="1:16">
      <c r="A8">
        <v>3</v>
      </c>
      <c r="B8">
        <v>33</v>
      </c>
      <c r="C8" s="20" t="s">
        <v>16</v>
      </c>
      <c r="D8" s="20" t="s">
        <v>16</v>
      </c>
      <c r="E8" s="20" t="s">
        <v>16</v>
      </c>
      <c r="F8">
        <v>1</v>
      </c>
      <c r="G8">
        <v>1</v>
      </c>
      <c r="H8">
        <v>0</v>
      </c>
      <c r="I8" t="s">
        <v>35</v>
      </c>
      <c r="J8" s="20" t="s">
        <v>36</v>
      </c>
      <c r="K8" t="s">
        <v>37</v>
      </c>
      <c r="L8" t="s">
        <v>20</v>
      </c>
      <c r="M8" t="s">
        <v>26</v>
      </c>
      <c r="O8" s="20">
        <v>5</v>
      </c>
    </row>
    <row r="9" spans="1:16">
      <c r="A9">
        <v>3</v>
      </c>
      <c r="B9">
        <v>31</v>
      </c>
      <c r="C9" s="20" t="s">
        <v>16</v>
      </c>
      <c r="D9" s="20" t="s">
        <v>16</v>
      </c>
      <c r="E9" s="20" t="s">
        <v>16</v>
      </c>
      <c r="F9">
        <v>1</v>
      </c>
      <c r="G9">
        <v>0</v>
      </c>
      <c r="H9">
        <v>0</v>
      </c>
      <c r="I9" t="s">
        <v>35</v>
      </c>
      <c r="J9" s="20" t="s">
        <v>38</v>
      </c>
      <c r="K9" t="s">
        <v>39</v>
      </c>
      <c r="L9" t="s">
        <v>20</v>
      </c>
      <c r="M9" t="s">
        <v>40</v>
      </c>
      <c r="O9" s="20">
        <v>5</v>
      </c>
    </row>
    <row r="10" spans="1:16">
      <c r="A10">
        <v>4</v>
      </c>
      <c r="B10">
        <v>14</v>
      </c>
      <c r="C10" s="20" t="s">
        <v>16</v>
      </c>
      <c r="F10">
        <v>2</v>
      </c>
      <c r="G10">
        <v>1</v>
      </c>
      <c r="H10">
        <v>0</v>
      </c>
      <c r="I10" t="s">
        <v>41</v>
      </c>
      <c r="J10" s="20" t="s">
        <v>42</v>
      </c>
      <c r="K10" t="s">
        <v>43</v>
      </c>
      <c r="L10" t="s">
        <v>44</v>
      </c>
      <c r="M10" s="21" t="s">
        <v>26</v>
      </c>
      <c r="N10" s="26">
        <v>1</v>
      </c>
      <c r="O10" s="20">
        <v>1</v>
      </c>
    </row>
    <row r="11" spans="1:16">
      <c r="A11">
        <v>4</v>
      </c>
      <c r="B11">
        <v>12</v>
      </c>
      <c r="C11" s="20" t="s">
        <v>16</v>
      </c>
      <c r="F11">
        <v>2</v>
      </c>
      <c r="G11">
        <v>1</v>
      </c>
      <c r="H11">
        <v>1</v>
      </c>
      <c r="I11" t="s">
        <v>41</v>
      </c>
      <c r="J11" s="20" t="s">
        <v>45</v>
      </c>
      <c r="K11" t="s">
        <v>46</v>
      </c>
      <c r="L11" t="s">
        <v>20</v>
      </c>
      <c r="M11" t="s">
        <v>21</v>
      </c>
      <c r="O11" s="20">
        <v>5</v>
      </c>
    </row>
    <row r="12" spans="1:16">
      <c r="A12">
        <v>4</v>
      </c>
      <c r="B12">
        <v>13</v>
      </c>
      <c r="C12" s="30" t="s">
        <v>16</v>
      </c>
      <c r="D12" s="30"/>
      <c r="E12" s="30"/>
      <c r="F12">
        <v>2</v>
      </c>
      <c r="G12">
        <v>1</v>
      </c>
      <c r="H12">
        <v>1</v>
      </c>
      <c r="I12" t="s">
        <v>41</v>
      </c>
      <c r="J12" s="20" t="s">
        <v>47</v>
      </c>
      <c r="K12" t="s">
        <v>48</v>
      </c>
      <c r="L12" t="s">
        <v>20</v>
      </c>
      <c r="M12" t="s">
        <v>26</v>
      </c>
      <c r="O12" s="30">
        <v>5</v>
      </c>
    </row>
    <row r="13" spans="1:16">
      <c r="A13">
        <v>5</v>
      </c>
      <c r="B13">
        <v>24</v>
      </c>
      <c r="C13" s="20" t="s">
        <v>16</v>
      </c>
      <c r="F13">
        <v>2</v>
      </c>
      <c r="G13">
        <v>1</v>
      </c>
      <c r="H13">
        <v>0</v>
      </c>
      <c r="I13" t="s">
        <v>49</v>
      </c>
      <c r="J13" s="20" t="s">
        <v>50</v>
      </c>
      <c r="K13" t="s">
        <v>51</v>
      </c>
      <c r="L13" t="s">
        <v>20</v>
      </c>
      <c r="M13" t="s">
        <v>40</v>
      </c>
      <c r="O13" s="20">
        <v>5</v>
      </c>
    </row>
    <row r="14" spans="1:16">
      <c r="A14">
        <v>5</v>
      </c>
      <c r="B14">
        <v>25</v>
      </c>
      <c r="C14" s="20" t="s">
        <v>16</v>
      </c>
      <c r="F14">
        <v>2</v>
      </c>
      <c r="G14">
        <v>1</v>
      </c>
      <c r="H14">
        <v>0</v>
      </c>
      <c r="I14" t="s">
        <v>49</v>
      </c>
      <c r="J14" s="20" t="s">
        <v>52</v>
      </c>
      <c r="K14" t="s">
        <v>53</v>
      </c>
      <c r="L14" t="s">
        <v>20</v>
      </c>
      <c r="M14" t="s">
        <v>21</v>
      </c>
      <c r="O14" s="20">
        <v>6</v>
      </c>
    </row>
    <row r="15" spans="1:16">
      <c r="A15">
        <v>5</v>
      </c>
      <c r="B15">
        <v>23</v>
      </c>
      <c r="C15" s="20" t="s">
        <v>16</v>
      </c>
      <c r="F15">
        <v>2</v>
      </c>
      <c r="G15">
        <v>1</v>
      </c>
      <c r="H15">
        <v>0</v>
      </c>
      <c r="I15" t="s">
        <v>49</v>
      </c>
      <c r="J15" s="20" t="s">
        <v>54</v>
      </c>
      <c r="K15" t="s">
        <v>55</v>
      </c>
      <c r="L15" t="s">
        <v>44</v>
      </c>
      <c r="M15" s="21" t="s">
        <v>26</v>
      </c>
      <c r="N15" s="26">
        <v>1</v>
      </c>
      <c r="O15" s="20">
        <v>1</v>
      </c>
    </row>
    <row r="16" spans="1:16">
      <c r="A16">
        <v>5</v>
      </c>
      <c r="B16">
        <v>22</v>
      </c>
      <c r="C16" s="20" t="s">
        <v>16</v>
      </c>
      <c r="F16">
        <v>2</v>
      </c>
      <c r="G16">
        <v>1</v>
      </c>
      <c r="H16">
        <v>1</v>
      </c>
      <c r="I16" t="s">
        <v>49</v>
      </c>
      <c r="J16" s="20" t="s">
        <v>56</v>
      </c>
      <c r="K16" t="s">
        <v>57</v>
      </c>
      <c r="L16" t="s">
        <v>20</v>
      </c>
      <c r="M16" t="s">
        <v>40</v>
      </c>
      <c r="O16" s="20">
        <v>5</v>
      </c>
    </row>
    <row r="17" spans="1:16">
      <c r="A17">
        <v>1</v>
      </c>
      <c r="B17">
        <v>5</v>
      </c>
      <c r="C17" s="20" t="s">
        <v>16</v>
      </c>
      <c r="F17" s="24">
        <v>2</v>
      </c>
      <c r="G17" s="24">
        <v>0</v>
      </c>
      <c r="H17" s="24">
        <v>0</v>
      </c>
      <c r="I17" t="s">
        <v>17</v>
      </c>
      <c r="J17" s="20" t="s">
        <v>58</v>
      </c>
      <c r="K17" t="s">
        <v>59</v>
      </c>
      <c r="L17" t="s">
        <v>20</v>
      </c>
      <c r="M17" t="s">
        <v>26</v>
      </c>
      <c r="O17" s="20">
        <v>5</v>
      </c>
    </row>
    <row r="18" spans="1:16">
      <c r="A18">
        <v>7</v>
      </c>
      <c r="B18">
        <v>38</v>
      </c>
      <c r="C18" s="20" t="s">
        <v>16</v>
      </c>
      <c r="F18">
        <v>2</v>
      </c>
      <c r="G18">
        <v>0</v>
      </c>
      <c r="H18">
        <v>0</v>
      </c>
      <c r="I18" t="s">
        <v>60</v>
      </c>
      <c r="J18" s="20" t="s">
        <v>61</v>
      </c>
      <c r="K18" t="s">
        <v>62</v>
      </c>
      <c r="L18" t="s">
        <v>30</v>
      </c>
      <c r="M18" s="27" t="s">
        <v>63</v>
      </c>
      <c r="N18" s="26">
        <v>1</v>
      </c>
      <c r="O18" s="20">
        <v>1</v>
      </c>
    </row>
    <row r="19" spans="1:16">
      <c r="A19">
        <v>2</v>
      </c>
      <c r="B19">
        <v>11</v>
      </c>
      <c r="C19" s="20" t="s">
        <v>16</v>
      </c>
      <c r="F19">
        <v>2</v>
      </c>
      <c r="G19">
        <v>1</v>
      </c>
      <c r="H19">
        <v>1</v>
      </c>
      <c r="I19" t="s">
        <v>27</v>
      </c>
      <c r="J19" s="20" t="s">
        <v>64</v>
      </c>
      <c r="K19" t="s">
        <v>65</v>
      </c>
      <c r="L19" t="s">
        <v>20</v>
      </c>
      <c r="M19" t="s">
        <v>40</v>
      </c>
      <c r="O19" s="20">
        <v>5</v>
      </c>
    </row>
    <row r="20" spans="1:16">
      <c r="A20">
        <v>4</v>
      </c>
      <c r="B20">
        <v>17</v>
      </c>
      <c r="F20" s="28">
        <v>3</v>
      </c>
      <c r="G20" s="28">
        <v>0</v>
      </c>
      <c r="H20" s="28">
        <v>0</v>
      </c>
      <c r="I20" s="28" t="s">
        <v>41</v>
      </c>
      <c r="J20" s="29" t="s">
        <v>66</v>
      </c>
      <c r="K20" s="28" t="s">
        <v>67</v>
      </c>
      <c r="L20" t="s">
        <v>20</v>
      </c>
      <c r="M20" t="s">
        <v>26</v>
      </c>
      <c r="O20" s="20">
        <v>5</v>
      </c>
    </row>
    <row r="21" spans="1:16">
      <c r="A21">
        <v>4</v>
      </c>
      <c r="B21">
        <v>15</v>
      </c>
      <c r="F21" s="28">
        <v>3</v>
      </c>
      <c r="G21" s="28">
        <v>1</v>
      </c>
      <c r="H21" s="28">
        <v>1</v>
      </c>
      <c r="I21" s="28" t="s">
        <v>41</v>
      </c>
      <c r="J21" s="29" t="s">
        <v>68</v>
      </c>
      <c r="K21" s="28" t="s">
        <v>69</v>
      </c>
      <c r="L21" t="s">
        <v>20</v>
      </c>
    </row>
    <row r="22" spans="1:16">
      <c r="A22">
        <v>4</v>
      </c>
      <c r="B22">
        <v>16</v>
      </c>
      <c r="F22" s="28">
        <v>3</v>
      </c>
      <c r="G22" s="28">
        <v>1</v>
      </c>
      <c r="H22" s="28">
        <v>1</v>
      </c>
      <c r="I22" s="28" t="s">
        <v>41</v>
      </c>
      <c r="J22" s="29" t="s">
        <v>70</v>
      </c>
      <c r="K22" s="28" t="s">
        <v>71</v>
      </c>
      <c r="L22" t="s">
        <v>20</v>
      </c>
      <c r="M22" t="s">
        <v>21</v>
      </c>
      <c r="O22" s="20">
        <v>6</v>
      </c>
    </row>
    <row r="23" spans="1:16">
      <c r="A23">
        <v>6</v>
      </c>
      <c r="B23">
        <v>35</v>
      </c>
      <c r="F23" s="28">
        <v>3</v>
      </c>
      <c r="G23" s="28">
        <v>1</v>
      </c>
      <c r="H23" s="28">
        <v>0</v>
      </c>
      <c r="I23" s="28" t="s">
        <v>72</v>
      </c>
      <c r="J23" s="29" t="s">
        <v>73</v>
      </c>
      <c r="K23" s="28" t="s">
        <v>74</v>
      </c>
      <c r="L23" t="s">
        <v>44</v>
      </c>
      <c r="M23" s="21"/>
      <c r="N23" s="26" t="s">
        <v>75</v>
      </c>
    </row>
    <row r="24" spans="1:16">
      <c r="A24">
        <v>6</v>
      </c>
      <c r="B24">
        <v>36</v>
      </c>
      <c r="F24" s="28">
        <v>3</v>
      </c>
      <c r="G24" s="28">
        <v>1</v>
      </c>
      <c r="H24" s="28">
        <v>1</v>
      </c>
      <c r="I24" s="28" t="s">
        <v>72</v>
      </c>
      <c r="J24" s="29" t="s">
        <v>76</v>
      </c>
      <c r="K24" s="28" t="s">
        <v>77</v>
      </c>
      <c r="L24" t="s">
        <v>44</v>
      </c>
      <c r="M24" s="21"/>
      <c r="N24" s="26" t="s">
        <v>78</v>
      </c>
    </row>
    <row r="25" spans="1:16">
      <c r="A25">
        <v>5</v>
      </c>
      <c r="B25">
        <v>27</v>
      </c>
      <c r="F25" s="28">
        <v>3</v>
      </c>
      <c r="G25" s="28">
        <v>1</v>
      </c>
      <c r="H25" s="28">
        <v>0</v>
      </c>
      <c r="I25" s="28" t="s">
        <v>49</v>
      </c>
      <c r="J25" s="29" t="s">
        <v>79</v>
      </c>
      <c r="K25" s="28" t="s">
        <v>80</v>
      </c>
      <c r="L25" t="s">
        <v>20</v>
      </c>
    </row>
    <row r="26" spans="1:16">
      <c r="A26">
        <v>5</v>
      </c>
      <c r="B26">
        <v>26</v>
      </c>
      <c r="C26" s="20" t="s">
        <v>16</v>
      </c>
      <c r="F26" s="28">
        <v>3</v>
      </c>
      <c r="G26" s="28">
        <v>1</v>
      </c>
      <c r="H26" s="28">
        <v>1</v>
      </c>
      <c r="I26" s="28" t="s">
        <v>49</v>
      </c>
      <c r="J26" s="29" t="s">
        <v>81</v>
      </c>
      <c r="K26" s="28" t="s">
        <v>82</v>
      </c>
      <c r="L26" t="s">
        <v>20</v>
      </c>
      <c r="M26" t="s">
        <v>21</v>
      </c>
      <c r="O26" s="20">
        <v>6</v>
      </c>
    </row>
    <row r="27" spans="1:16">
      <c r="A27">
        <v>5</v>
      </c>
      <c r="B27">
        <v>28</v>
      </c>
      <c r="F27" s="28">
        <v>3</v>
      </c>
      <c r="G27" s="28">
        <v>1</v>
      </c>
      <c r="H27" s="28">
        <v>1</v>
      </c>
      <c r="I27" s="28" t="s">
        <v>49</v>
      </c>
      <c r="J27" s="29" t="s">
        <v>83</v>
      </c>
      <c r="K27" s="28" t="s">
        <v>84</v>
      </c>
      <c r="L27" t="s">
        <v>20</v>
      </c>
    </row>
    <row r="28" spans="1:16">
      <c r="B28">
        <v>3</v>
      </c>
      <c r="F28" s="28">
        <v>3</v>
      </c>
      <c r="G28" s="28">
        <v>0</v>
      </c>
      <c r="H28" s="28">
        <v>0</v>
      </c>
      <c r="I28" s="28" t="s">
        <v>17</v>
      </c>
      <c r="J28" s="29" t="s">
        <v>85</v>
      </c>
      <c r="K28" s="28" t="s">
        <v>86</v>
      </c>
      <c r="L28" t="s">
        <v>20</v>
      </c>
      <c r="P28" t="s">
        <v>87</v>
      </c>
    </row>
    <row r="29" spans="1:16">
      <c r="A29">
        <v>1</v>
      </c>
      <c r="B29">
        <v>4</v>
      </c>
      <c r="F29" s="28">
        <v>3</v>
      </c>
      <c r="G29" s="28">
        <v>1</v>
      </c>
      <c r="H29" s="28">
        <v>0</v>
      </c>
      <c r="I29" s="28" t="s">
        <v>17</v>
      </c>
      <c r="J29" s="29" t="s">
        <v>88</v>
      </c>
      <c r="K29" s="28" t="s">
        <v>89</v>
      </c>
      <c r="L29" t="s">
        <v>20</v>
      </c>
    </row>
    <row r="30" spans="1:16">
      <c r="A30">
        <v>2</v>
      </c>
      <c r="B30">
        <v>7</v>
      </c>
      <c r="F30" s="28">
        <v>3</v>
      </c>
      <c r="G30" s="28">
        <v>0</v>
      </c>
      <c r="H30" s="28">
        <v>0</v>
      </c>
      <c r="I30" s="28" t="s">
        <v>27</v>
      </c>
      <c r="J30" s="29" t="s">
        <v>90</v>
      </c>
      <c r="K30" s="28" t="s">
        <v>91</v>
      </c>
      <c r="L30" t="s">
        <v>20</v>
      </c>
      <c r="M30" t="s">
        <v>26</v>
      </c>
      <c r="O30" s="20">
        <v>5</v>
      </c>
    </row>
    <row r="31" spans="1:16">
      <c r="A31">
        <v>3</v>
      </c>
      <c r="B31">
        <v>32</v>
      </c>
      <c r="F31" s="28">
        <v>3</v>
      </c>
      <c r="G31" s="28">
        <v>1</v>
      </c>
      <c r="H31" s="28">
        <v>0</v>
      </c>
      <c r="I31" s="28" t="s">
        <v>35</v>
      </c>
      <c r="J31" s="29" t="s">
        <v>92</v>
      </c>
      <c r="K31" s="28" t="s">
        <v>93</v>
      </c>
      <c r="L31" t="s">
        <v>20</v>
      </c>
    </row>
    <row r="32" spans="1:16">
      <c r="A32">
        <v>3</v>
      </c>
      <c r="B32">
        <v>30</v>
      </c>
      <c r="C32" s="20" t="s">
        <v>16</v>
      </c>
      <c r="F32" s="28">
        <v>3</v>
      </c>
      <c r="G32" s="28">
        <v>1</v>
      </c>
      <c r="H32" s="28">
        <v>1</v>
      </c>
      <c r="I32" s="28" t="s">
        <v>35</v>
      </c>
      <c r="J32" s="29" t="s">
        <v>94</v>
      </c>
      <c r="K32" s="28" t="s">
        <v>95</v>
      </c>
      <c r="L32" t="s">
        <v>20</v>
      </c>
      <c r="M32" t="s">
        <v>40</v>
      </c>
      <c r="O32" s="20">
        <v>5</v>
      </c>
    </row>
    <row r="33" spans="1:15">
      <c r="A33">
        <v>4</v>
      </c>
      <c r="B33">
        <v>21</v>
      </c>
      <c r="F33">
        <v>4</v>
      </c>
      <c r="G33">
        <v>1</v>
      </c>
      <c r="H33">
        <v>1</v>
      </c>
      <c r="I33" t="s">
        <v>41</v>
      </c>
      <c r="J33" s="20" t="s">
        <v>96</v>
      </c>
      <c r="K33" t="s">
        <v>97</v>
      </c>
      <c r="L33" t="s">
        <v>20</v>
      </c>
      <c r="M33" t="s">
        <v>40</v>
      </c>
      <c r="O33" s="20">
        <v>5</v>
      </c>
    </row>
    <row r="34" spans="1:15">
      <c r="A34" s="24">
        <v>4</v>
      </c>
      <c r="B34" s="24">
        <v>18</v>
      </c>
      <c r="C34" s="30"/>
      <c r="D34" s="30"/>
      <c r="E34" s="30"/>
      <c r="F34" s="24">
        <v>4</v>
      </c>
      <c r="G34" s="24">
        <v>1</v>
      </c>
      <c r="H34" s="24">
        <v>1</v>
      </c>
      <c r="I34" s="24" t="s">
        <v>41</v>
      </c>
      <c r="J34" s="30" t="s">
        <v>98</v>
      </c>
      <c r="K34" t="s">
        <v>99</v>
      </c>
      <c r="L34" t="s">
        <v>20</v>
      </c>
    </row>
    <row r="35" spans="1:15">
      <c r="A35">
        <v>4</v>
      </c>
      <c r="B35">
        <v>19</v>
      </c>
      <c r="F35">
        <v>4</v>
      </c>
      <c r="G35">
        <v>1</v>
      </c>
      <c r="H35">
        <v>1</v>
      </c>
      <c r="I35" t="s">
        <v>41</v>
      </c>
      <c r="J35" s="20" t="s">
        <v>100</v>
      </c>
      <c r="K35" t="s">
        <v>101</v>
      </c>
      <c r="L35" t="s">
        <v>20</v>
      </c>
      <c r="M35" t="s">
        <v>40</v>
      </c>
      <c r="O35" s="20">
        <v>5</v>
      </c>
    </row>
    <row r="36" spans="1:15">
      <c r="A36">
        <v>4</v>
      </c>
      <c r="B36">
        <v>20</v>
      </c>
      <c r="F36">
        <v>4</v>
      </c>
      <c r="G36">
        <v>1</v>
      </c>
      <c r="H36">
        <v>1</v>
      </c>
      <c r="I36" t="s">
        <v>41</v>
      </c>
      <c r="J36" s="20" t="s">
        <v>102</v>
      </c>
      <c r="K36" t="s">
        <v>103</v>
      </c>
      <c r="L36" t="s">
        <v>44</v>
      </c>
      <c r="M36" s="21"/>
      <c r="N36" s="26">
        <v>1</v>
      </c>
    </row>
    <row r="37" spans="1:15">
      <c r="A37">
        <v>6</v>
      </c>
      <c r="B37">
        <v>37</v>
      </c>
      <c r="F37">
        <v>4</v>
      </c>
      <c r="G37">
        <v>1</v>
      </c>
      <c r="H37">
        <v>1</v>
      </c>
      <c r="I37" t="s">
        <v>72</v>
      </c>
      <c r="J37" s="20" t="s">
        <v>104</v>
      </c>
      <c r="K37" t="s">
        <v>105</v>
      </c>
      <c r="L37" t="s">
        <v>44</v>
      </c>
      <c r="M37" s="21"/>
      <c r="N37" s="26" t="s">
        <v>78</v>
      </c>
    </row>
    <row r="38" spans="1:15">
      <c r="A38">
        <v>5</v>
      </c>
      <c r="B38">
        <v>29</v>
      </c>
      <c r="F38">
        <v>4</v>
      </c>
      <c r="G38">
        <v>1</v>
      </c>
      <c r="H38">
        <v>1</v>
      </c>
      <c r="I38" t="s">
        <v>49</v>
      </c>
      <c r="J38" s="20" t="s">
        <v>106</v>
      </c>
      <c r="K38" t="s">
        <v>107</v>
      </c>
      <c r="L38" t="s">
        <v>20</v>
      </c>
      <c r="M38" t="s">
        <v>40</v>
      </c>
      <c r="O38" s="20">
        <v>6</v>
      </c>
    </row>
    <row r="39" spans="1:15">
      <c r="A39">
        <v>7</v>
      </c>
      <c r="B39">
        <v>39</v>
      </c>
      <c r="C39" s="20" t="s">
        <v>16</v>
      </c>
      <c r="F39">
        <v>4</v>
      </c>
      <c r="G39">
        <v>0</v>
      </c>
      <c r="H39">
        <v>0</v>
      </c>
      <c r="I39" t="s">
        <v>60</v>
      </c>
      <c r="J39" s="20" t="s">
        <v>108</v>
      </c>
      <c r="K39" t="s">
        <v>109</v>
      </c>
      <c r="L39" t="s">
        <v>30</v>
      </c>
      <c r="M39" s="27" t="s">
        <v>63</v>
      </c>
      <c r="N39" s="26">
        <v>1</v>
      </c>
      <c r="O39" s="20">
        <v>1</v>
      </c>
    </row>
    <row r="40" spans="1:15">
      <c r="A40">
        <v>7</v>
      </c>
      <c r="B40">
        <v>40</v>
      </c>
      <c r="F40">
        <v>4</v>
      </c>
      <c r="G40">
        <v>0</v>
      </c>
      <c r="H40">
        <v>0</v>
      </c>
      <c r="I40" t="s">
        <v>60</v>
      </c>
      <c r="J40" s="20" t="s">
        <v>110</v>
      </c>
      <c r="K40" t="s">
        <v>111</v>
      </c>
      <c r="L40" t="s">
        <v>30</v>
      </c>
      <c r="M40" s="27"/>
      <c r="N40" s="26">
        <v>1</v>
      </c>
      <c r="O40" s="20">
        <v>1</v>
      </c>
    </row>
    <row r="41" spans="1:15">
      <c r="A41">
        <v>3</v>
      </c>
      <c r="B41">
        <v>34</v>
      </c>
      <c r="F41">
        <v>4</v>
      </c>
      <c r="G41">
        <v>1</v>
      </c>
      <c r="H41">
        <v>1</v>
      </c>
      <c r="I41" t="s">
        <v>35</v>
      </c>
      <c r="J41" s="20" t="s">
        <v>112</v>
      </c>
      <c r="K41" t="s">
        <v>113</v>
      </c>
      <c r="L41" t="s">
        <v>20</v>
      </c>
      <c r="M41" t="s">
        <v>40</v>
      </c>
      <c r="O41" s="20">
        <v>5</v>
      </c>
    </row>
    <row r="43" spans="1:15">
      <c r="H43">
        <f>SUM(H2:H41)</f>
        <v>20</v>
      </c>
      <c r="I43" t="s">
        <v>114</v>
      </c>
    </row>
  </sheetData>
  <sortState xmlns:xlrd2="http://schemas.microsoft.com/office/spreadsheetml/2017/richdata2" ref="A2:P41">
    <sortCondition ref="F2:F41"/>
    <sortCondition ref="I2:I41"/>
  </sortState>
  <conditionalFormatting sqref="G2:G41">
    <cfRule type="cellIs" dxfId="1" priority="2" operator="equal">
      <formula>1</formula>
    </cfRule>
  </conditionalFormatting>
  <conditionalFormatting sqref="H2:H41">
    <cfRule type="cellIs" dxfId="0" priority="1" operat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6198-82A9-489E-AF84-556F51BA47A6}">
  <dimension ref="A1:K23"/>
  <sheetViews>
    <sheetView workbookViewId="0">
      <selection activeCell="B19" sqref="B19"/>
    </sheetView>
  </sheetViews>
  <sheetFormatPr defaultRowHeight="15"/>
  <cols>
    <col min="1" max="1" width="52" customWidth="1"/>
  </cols>
  <sheetData>
    <row r="1" spans="1:11">
      <c r="A1" s="22" t="s">
        <v>115</v>
      </c>
      <c r="B1" s="22" t="s">
        <v>116</v>
      </c>
      <c r="C1" s="22" t="s">
        <v>117</v>
      </c>
      <c r="D1" s="22" t="s">
        <v>118</v>
      </c>
      <c r="E1" s="22" t="s">
        <v>119</v>
      </c>
      <c r="F1" s="22" t="s">
        <v>120</v>
      </c>
      <c r="G1" s="22" t="s">
        <v>121</v>
      </c>
      <c r="H1" s="22" t="s">
        <v>122</v>
      </c>
      <c r="I1" s="22" t="s">
        <v>123</v>
      </c>
      <c r="J1" s="22" t="s">
        <v>124</v>
      </c>
      <c r="K1" s="22" t="s">
        <v>125</v>
      </c>
    </row>
    <row r="2" spans="1:11">
      <c r="A2" s="22" t="s">
        <v>126</v>
      </c>
      <c r="B2" s="23" t="s">
        <v>127</v>
      </c>
      <c r="C2" s="23" t="s">
        <v>127</v>
      </c>
      <c r="D2" s="23" t="s">
        <v>36</v>
      </c>
      <c r="E2" s="23" t="s">
        <v>127</v>
      </c>
      <c r="F2" s="23" t="s">
        <v>127</v>
      </c>
      <c r="G2" s="23" t="s">
        <v>38</v>
      </c>
      <c r="H2" s="23" t="s">
        <v>127</v>
      </c>
      <c r="I2" s="23" t="s">
        <v>127</v>
      </c>
      <c r="J2" s="23" t="s">
        <v>127</v>
      </c>
      <c r="K2" s="23" t="s">
        <v>127</v>
      </c>
    </row>
    <row r="3" spans="1:11">
      <c r="A3" s="22" t="s">
        <v>128</v>
      </c>
      <c r="B3" s="23"/>
      <c r="C3" s="23"/>
      <c r="D3" s="23"/>
      <c r="E3" s="23"/>
      <c r="F3" s="23"/>
      <c r="G3" s="23"/>
      <c r="H3" s="23"/>
      <c r="I3" s="23"/>
      <c r="J3" s="23"/>
      <c r="K3" s="23"/>
    </row>
    <row r="4" spans="1:11">
      <c r="A4" s="22" t="s">
        <v>129</v>
      </c>
      <c r="B4" s="23"/>
      <c r="C4" s="23"/>
      <c r="D4" s="23"/>
      <c r="E4" s="23"/>
      <c r="F4" s="23"/>
      <c r="G4" s="23"/>
      <c r="H4" s="23"/>
      <c r="I4" s="23"/>
      <c r="J4" s="23"/>
      <c r="K4" s="23"/>
    </row>
    <row r="5" spans="1:11">
      <c r="A5" s="22" t="s">
        <v>130</v>
      </c>
      <c r="B5" s="23"/>
      <c r="C5" s="23"/>
      <c r="D5" s="23"/>
      <c r="E5" s="23"/>
      <c r="F5" s="23"/>
      <c r="G5" s="23"/>
      <c r="H5" s="23"/>
      <c r="I5" s="23"/>
      <c r="J5" s="23"/>
      <c r="K5" s="23"/>
    </row>
    <row r="6" spans="1:11">
      <c r="A6" s="22" t="s">
        <v>131</v>
      </c>
      <c r="B6" s="23"/>
      <c r="C6" s="23"/>
      <c r="D6" s="23"/>
      <c r="E6" s="23"/>
      <c r="F6" s="23"/>
      <c r="G6" s="23"/>
      <c r="H6" s="23"/>
      <c r="I6" s="23"/>
      <c r="J6" s="23"/>
      <c r="K6" s="23"/>
    </row>
    <row r="7" spans="1:11">
      <c r="A7" s="22" t="s">
        <v>132</v>
      </c>
      <c r="B7" s="23"/>
      <c r="C7" s="23"/>
      <c r="D7" s="23"/>
      <c r="E7" s="23"/>
      <c r="F7" s="23"/>
      <c r="G7" s="23"/>
      <c r="H7" s="23"/>
      <c r="I7" s="23"/>
      <c r="J7" s="23"/>
      <c r="K7" s="23"/>
    </row>
    <row r="8" spans="1:11">
      <c r="A8" s="22" t="s">
        <v>133</v>
      </c>
      <c r="B8" s="23"/>
      <c r="C8" s="23"/>
      <c r="D8" s="23"/>
      <c r="E8" s="23"/>
      <c r="F8" s="23"/>
      <c r="G8" s="23"/>
      <c r="H8" s="23"/>
      <c r="I8" s="23"/>
      <c r="J8" s="23"/>
      <c r="K8" s="23"/>
    </row>
    <row r="9" spans="1:11">
      <c r="A9" s="22" t="s">
        <v>134</v>
      </c>
      <c r="B9" s="23"/>
      <c r="C9" s="23"/>
      <c r="D9" s="23"/>
      <c r="E9" s="23"/>
      <c r="F9" s="23"/>
      <c r="G9" s="23"/>
      <c r="H9" s="23"/>
      <c r="I9" s="23"/>
      <c r="J9" s="23"/>
      <c r="K9" s="23"/>
    </row>
    <row r="10" spans="1:11">
      <c r="A10" s="22" t="s">
        <v>135</v>
      </c>
      <c r="B10" s="23"/>
      <c r="C10" s="23"/>
      <c r="D10" s="23"/>
      <c r="E10" s="23"/>
      <c r="F10" s="23"/>
      <c r="G10" s="23"/>
      <c r="H10" s="23"/>
      <c r="I10" s="23"/>
      <c r="J10" s="23"/>
      <c r="K10" s="23"/>
    </row>
    <row r="11" spans="1:11">
      <c r="A11" s="22" t="s">
        <v>136</v>
      </c>
      <c r="B11" s="23"/>
      <c r="C11" s="23"/>
      <c r="D11" s="23"/>
      <c r="E11" s="23"/>
      <c r="F11" s="23"/>
      <c r="G11" s="23"/>
      <c r="H11" s="23"/>
      <c r="I11" s="23"/>
      <c r="J11" s="23"/>
      <c r="K11" s="23"/>
    </row>
    <row r="12" spans="1:11">
      <c r="A12" s="22" t="s">
        <v>137</v>
      </c>
      <c r="B12" s="23"/>
      <c r="C12" s="23"/>
      <c r="D12" s="23"/>
      <c r="E12" s="23"/>
      <c r="F12" s="23"/>
      <c r="G12" s="23"/>
      <c r="H12" s="23"/>
      <c r="I12" s="23"/>
      <c r="J12" s="23"/>
      <c r="K12" s="23"/>
    </row>
    <row r="13" spans="1:11">
      <c r="A13" s="22" t="s">
        <v>138</v>
      </c>
      <c r="B13" s="23"/>
      <c r="C13" s="23"/>
      <c r="D13" s="23"/>
      <c r="E13" s="23"/>
      <c r="F13" s="23"/>
      <c r="G13" s="23"/>
      <c r="H13" s="23"/>
      <c r="I13" s="23"/>
      <c r="J13" s="23"/>
      <c r="K13" s="23"/>
    </row>
    <row r="14" spans="1:11">
      <c r="A14" s="22" t="s">
        <v>139</v>
      </c>
      <c r="B14" s="23"/>
      <c r="C14" s="23"/>
      <c r="D14" s="23"/>
      <c r="E14" s="23"/>
      <c r="F14" s="23"/>
      <c r="G14" s="23"/>
      <c r="H14" s="23"/>
      <c r="I14" s="23"/>
      <c r="J14" s="23"/>
      <c r="K14" s="23"/>
    </row>
    <row r="15" spans="1:11">
      <c r="A15" s="22" t="s">
        <v>140</v>
      </c>
      <c r="B15" s="23"/>
      <c r="C15" s="23"/>
      <c r="D15" s="23"/>
      <c r="E15" s="23"/>
      <c r="F15" s="23"/>
      <c r="G15" s="23"/>
      <c r="H15" s="23"/>
      <c r="I15" s="23"/>
      <c r="J15" s="23"/>
      <c r="K15" s="23"/>
    </row>
    <row r="16" spans="1:11">
      <c r="A16" s="22" t="s">
        <v>141</v>
      </c>
      <c r="B16" s="23"/>
      <c r="C16" s="23"/>
      <c r="D16" s="23"/>
      <c r="E16" s="23"/>
      <c r="F16" s="23"/>
      <c r="G16" s="23"/>
      <c r="H16" s="23"/>
      <c r="I16" s="23"/>
      <c r="J16" s="23"/>
      <c r="K16" s="23"/>
    </row>
    <row r="17" spans="1:11">
      <c r="A17" s="22" t="s">
        <v>142</v>
      </c>
      <c r="B17" s="23"/>
      <c r="C17" s="23"/>
      <c r="D17" s="23"/>
      <c r="E17" s="23"/>
      <c r="F17" s="23"/>
      <c r="G17" s="23"/>
      <c r="H17" s="23"/>
      <c r="I17" s="23"/>
      <c r="J17" s="23"/>
      <c r="K17" s="23"/>
    </row>
    <row r="18" spans="1:11">
      <c r="A18" s="22" t="s">
        <v>143</v>
      </c>
      <c r="B18" s="23"/>
      <c r="C18" s="23"/>
      <c r="D18" s="23"/>
      <c r="E18" s="23"/>
      <c r="F18" s="23"/>
      <c r="G18" s="23"/>
      <c r="H18" s="23"/>
      <c r="I18" s="23"/>
      <c r="J18" s="23"/>
      <c r="K18" s="23"/>
    </row>
    <row r="19" spans="1:11">
      <c r="A19" s="22" t="s">
        <v>144</v>
      </c>
      <c r="B19" s="23" t="s">
        <v>145</v>
      </c>
      <c r="C19" s="23" t="s">
        <v>127</v>
      </c>
      <c r="D19" s="23" t="s">
        <v>145</v>
      </c>
      <c r="E19" s="23" t="s">
        <v>66</v>
      </c>
      <c r="F19" s="23" t="s">
        <v>127</v>
      </c>
      <c r="G19" s="23" t="s">
        <v>127</v>
      </c>
      <c r="H19" s="23" t="s">
        <v>146</v>
      </c>
      <c r="I19" s="23" t="s">
        <v>147</v>
      </c>
      <c r="J19" s="23" t="s">
        <v>127</v>
      </c>
      <c r="K19" s="23" t="s">
        <v>127</v>
      </c>
    </row>
    <row r="20" spans="1:11">
      <c r="A20" s="22" t="s">
        <v>148</v>
      </c>
      <c r="B20" s="23" t="s">
        <v>81</v>
      </c>
      <c r="C20" s="23" t="s">
        <v>127</v>
      </c>
      <c r="D20" s="23" t="s">
        <v>127</v>
      </c>
      <c r="E20" s="23" t="s">
        <v>149</v>
      </c>
      <c r="F20" s="23" t="s">
        <v>145</v>
      </c>
      <c r="G20" s="23" t="s">
        <v>145</v>
      </c>
      <c r="H20" s="23" t="s">
        <v>145</v>
      </c>
      <c r="I20" s="23" t="s">
        <v>127</v>
      </c>
      <c r="J20" s="23" t="s">
        <v>127</v>
      </c>
      <c r="K20" s="23" t="s">
        <v>127</v>
      </c>
    </row>
    <row r="21" spans="1:11">
      <c r="A21" s="22" t="s">
        <v>150</v>
      </c>
      <c r="B21" s="23" t="s">
        <v>70</v>
      </c>
      <c r="C21" s="23" t="s">
        <v>145</v>
      </c>
      <c r="D21" s="23" t="s">
        <v>98</v>
      </c>
      <c r="E21" s="23" t="s">
        <v>127</v>
      </c>
      <c r="F21" s="23" t="s">
        <v>24</v>
      </c>
      <c r="G21" s="23" t="s">
        <v>149</v>
      </c>
      <c r="H21" s="23" t="s">
        <v>76</v>
      </c>
      <c r="I21" s="23" t="s">
        <v>127</v>
      </c>
      <c r="J21" s="23" t="s">
        <v>127</v>
      </c>
      <c r="K21" s="23" t="s">
        <v>127</v>
      </c>
    </row>
    <row r="22" spans="1:11">
      <c r="A22" s="22" t="s">
        <v>151</v>
      </c>
      <c r="B22" s="23" t="s">
        <v>127</v>
      </c>
      <c r="C22" s="23" t="s">
        <v>127</v>
      </c>
      <c r="D22" s="23" t="s">
        <v>146</v>
      </c>
      <c r="E22" s="23" t="s">
        <v>81</v>
      </c>
      <c r="F22" s="23" t="s">
        <v>68</v>
      </c>
      <c r="G22" s="23" t="s">
        <v>146</v>
      </c>
      <c r="H22" s="23" t="s">
        <v>127</v>
      </c>
      <c r="I22" s="23" t="s">
        <v>127</v>
      </c>
      <c r="J22" s="23" t="s">
        <v>127</v>
      </c>
      <c r="K22" s="23" t="s">
        <v>127</v>
      </c>
    </row>
    <row r="23" spans="1:11">
      <c r="A23" s="1"/>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5CB2D-DC16-45FC-8C1A-037F12F0611F}">
  <dimension ref="A1:I14"/>
  <sheetViews>
    <sheetView workbookViewId="0">
      <selection activeCell="G4" sqref="G4"/>
    </sheetView>
  </sheetViews>
  <sheetFormatPr defaultRowHeight="15"/>
  <cols>
    <col min="2" max="2" width="8.7109375" bestFit="1" customWidth="1"/>
    <col min="3" max="3" width="14.140625" bestFit="1" customWidth="1"/>
    <col min="4" max="4" width="11" bestFit="1" customWidth="1"/>
    <col min="5" max="5" width="10.28515625" bestFit="1" customWidth="1"/>
    <col min="6" max="6" width="11.85546875" bestFit="1" customWidth="1"/>
    <col min="7" max="7" width="16.5703125" bestFit="1" customWidth="1"/>
    <col min="8" max="8" width="11.42578125" bestFit="1" customWidth="1"/>
  </cols>
  <sheetData>
    <row r="1" spans="1:9">
      <c r="A1" t="s">
        <v>152</v>
      </c>
      <c r="B1" s="1" t="s">
        <v>17</v>
      </c>
      <c r="C1" s="1" t="s">
        <v>27</v>
      </c>
      <c r="D1" s="1" t="s">
        <v>41</v>
      </c>
      <c r="E1" s="1" t="s">
        <v>49</v>
      </c>
      <c r="F1" s="1" t="s">
        <v>35</v>
      </c>
      <c r="G1" s="1" t="s">
        <v>72</v>
      </c>
      <c r="H1" s="1" t="s">
        <v>60</v>
      </c>
    </row>
    <row r="2" spans="1:9">
      <c r="A2" s="1">
        <v>1</v>
      </c>
      <c r="B2" s="8">
        <f>COUNTIFS('Assessment-level skills'!$F$2:$F$986, $A2, 'Assessment-level skills'!$I$2:$I$986, $B$1)</f>
        <v>3</v>
      </c>
      <c r="C2" s="9">
        <f>COUNTIFS('Assessment-level skills'!$F$2:$F$986, $A2, 'Assessment-level skills'!$I$2:$I$986, C1)</f>
        <v>3</v>
      </c>
      <c r="D2" s="9">
        <f>COUNTIFS('Assessment-level skills'!$F$2:$F$986, $A2, 'Assessment-level skills'!$I$2:$I$986, D1)</f>
        <v>0</v>
      </c>
      <c r="E2" s="9">
        <f>COUNTIFS('Assessment-level skills'!$F$2:$F$986, $A2, 'Assessment-level skills'!$I$2:$I$986, E1)</f>
        <v>0</v>
      </c>
      <c r="F2" s="10">
        <f>COUNTIFS('Assessment-level skills'!$F$2:$F$986, $A2, 'Assessment-level skills'!$I$2:$I$986, F1)</f>
        <v>2</v>
      </c>
      <c r="G2" s="10">
        <f>COUNTIFS('Assessment-level skills'!$F$2:$F$986, $A2, 'Assessment-level skills'!$I$2:$I$986, G1)</f>
        <v>0</v>
      </c>
      <c r="H2" s="11">
        <f>COUNTIFS('Assessment-level skills'!$F$2:$F$986, $A2, 'Assessment-level skills'!$I$2:$I$986, H1)</f>
        <v>0</v>
      </c>
      <c r="I2" s="4">
        <f>SUM(B2:H2)</f>
        <v>8</v>
      </c>
    </row>
    <row r="3" spans="1:9">
      <c r="A3" s="1">
        <v>2</v>
      </c>
      <c r="B3" s="12">
        <f>COUNTIFS('Assessment-level skills'!$F$2:$F$986, $A3, 'Assessment-level skills'!$I$2:$I$986, $B$1)</f>
        <v>1</v>
      </c>
      <c r="C3">
        <f>COUNTIFS('Assessment-level skills'!$F$2:$F$986, $A3, 'Assessment-level skills'!$I$2:$I$986, C$1)</f>
        <v>1</v>
      </c>
      <c r="D3">
        <f>COUNTIFS('Assessment-level skills'!$F$2:$F$986, $A3, 'Assessment-level skills'!$I$2:$I$986, D$1)</f>
        <v>3</v>
      </c>
      <c r="E3">
        <f>COUNTIFS('Assessment-level skills'!$F$2:$F$986, $A3, 'Assessment-level skills'!$I$2:$I$986, E$1)</f>
        <v>4</v>
      </c>
      <c r="F3" s="1">
        <f>COUNTIFS('Assessment-level skills'!$F$2:$F$986, $A3, 'Assessment-level skills'!$I$2:$I$986, F$1)</f>
        <v>0</v>
      </c>
      <c r="G3" s="1">
        <f>COUNTIFS('Assessment-level skills'!$F$2:$F$986, $A3, 'Assessment-level skills'!$I$2:$I$986, G$1)</f>
        <v>0</v>
      </c>
      <c r="H3" s="13">
        <f>COUNTIFS('Assessment-level skills'!$F$2:$F$986, $A3, 'Assessment-level skills'!$I$2:$I$986, H$1)</f>
        <v>1</v>
      </c>
      <c r="I3" s="4">
        <f>SUM(B3:H3)</f>
        <v>10</v>
      </c>
    </row>
    <row r="4" spans="1:9">
      <c r="A4" s="1">
        <v>3</v>
      </c>
      <c r="B4" s="12">
        <f>COUNTIFS('Assessment-level skills'!$F$2:$F$986, $A4, 'Assessment-level skills'!$I$2:$I$986, $B$1)</f>
        <v>2</v>
      </c>
      <c r="C4">
        <f>COUNTIFS('Assessment-level skills'!$F$2:$F$986, $A4, 'Assessment-level skills'!$I$2:$I$986, C$1)</f>
        <v>1</v>
      </c>
      <c r="D4">
        <f>COUNTIFS('Assessment-level skills'!$F$2:$F$986, $A4, 'Assessment-level skills'!$I$2:$I$986, D$1)</f>
        <v>3</v>
      </c>
      <c r="E4">
        <f>COUNTIFS('Assessment-level skills'!$F$2:$F$986, $A4, 'Assessment-level skills'!$I$2:$I$986, E$1)</f>
        <v>3</v>
      </c>
      <c r="F4" s="1">
        <f>COUNTIFS('Assessment-level skills'!$F$2:$F$986, $A4, 'Assessment-level skills'!$I$2:$I$986, F$1)</f>
        <v>2</v>
      </c>
      <c r="G4" s="1">
        <f>COUNTIFS('Assessment-level skills'!$F$2:$F$986, $A4, 'Assessment-level skills'!$I$2:$I$986, G$1)</f>
        <v>2</v>
      </c>
      <c r="H4" s="13">
        <f>COUNTIFS('Assessment-level skills'!$F$2:$F$986, $A4, 'Assessment-level skills'!$I$2:$I$986, H$1)</f>
        <v>0</v>
      </c>
      <c r="I4" s="4">
        <f>SUM(B4:H4)</f>
        <v>13</v>
      </c>
    </row>
    <row r="5" spans="1:9">
      <c r="A5" s="1">
        <v>4</v>
      </c>
      <c r="B5" s="14">
        <f>COUNTIFS('Assessment-level skills'!$F$2:$F$986, $A5, 'Assessment-level skills'!$I$2:$I$986, $B$1)</f>
        <v>0</v>
      </c>
      <c r="C5" s="15">
        <f>COUNTIFS('Assessment-level skills'!$F$2:$F$986, $A5, 'Assessment-level skills'!$I$2:$I$986, C$1)</f>
        <v>0</v>
      </c>
      <c r="D5" s="15">
        <f>COUNTIFS('Assessment-level skills'!$F$2:$F$986, $A5, 'Assessment-level skills'!$I$2:$I$986, D$1)</f>
        <v>4</v>
      </c>
      <c r="E5" s="15">
        <f>COUNTIFS('Assessment-level skills'!$F$2:$F$986, $A5, 'Assessment-level skills'!$I$2:$I$986, E$1)</f>
        <v>1</v>
      </c>
      <c r="F5" s="16">
        <f>COUNTIFS('Assessment-level skills'!$F$2:$F$986, $A5, 'Assessment-level skills'!$I$2:$I$986, F$1)</f>
        <v>1</v>
      </c>
      <c r="G5" s="16">
        <f>COUNTIFS('Assessment-level skills'!$F$2:$F$986, $A5, 'Assessment-level skills'!$I$2:$I$986, G$1)</f>
        <v>1</v>
      </c>
      <c r="H5" s="17">
        <f>COUNTIFS('Assessment-level skills'!$F$2:$F$986, $A5, 'Assessment-level skills'!$I$2:$I$986, H$1)</f>
        <v>2</v>
      </c>
      <c r="I5" s="4">
        <f>SUM(B5:H5)</f>
        <v>9</v>
      </c>
    </row>
    <row r="6" spans="1:9">
      <c r="A6" s="1"/>
      <c r="B6">
        <f>SUM(B2:B5)</f>
        <v>6</v>
      </c>
      <c r="C6">
        <f t="shared" ref="C6:H6" si="0">SUM(C2:C5)</f>
        <v>5</v>
      </c>
      <c r="D6">
        <f t="shared" si="0"/>
        <v>10</v>
      </c>
      <c r="E6">
        <f t="shared" si="0"/>
        <v>8</v>
      </c>
      <c r="F6">
        <f t="shared" si="0"/>
        <v>5</v>
      </c>
      <c r="G6">
        <f t="shared" si="0"/>
        <v>3</v>
      </c>
      <c r="H6">
        <f t="shared" si="0"/>
        <v>3</v>
      </c>
      <c r="I6" s="1">
        <f>SUM(I2:I5)</f>
        <v>40</v>
      </c>
    </row>
    <row r="7" spans="1:9">
      <c r="A7" s="1"/>
      <c r="B7" s="1"/>
      <c r="C7" s="1"/>
      <c r="D7" s="1"/>
      <c r="E7" s="1"/>
      <c r="F7" s="1"/>
      <c r="G7" s="1"/>
      <c r="H7" s="1"/>
      <c r="I7" s="1"/>
    </row>
    <row r="8" spans="1:9">
      <c r="A8" s="1"/>
      <c r="B8" s="1"/>
      <c r="C8" s="1"/>
      <c r="D8" s="1"/>
      <c r="E8" s="1"/>
      <c r="F8" s="1"/>
      <c r="G8" s="1"/>
      <c r="H8" s="1"/>
    </row>
    <row r="9" spans="1:9">
      <c r="A9" s="1"/>
      <c r="B9" s="1"/>
      <c r="C9" s="1"/>
      <c r="D9" s="1"/>
      <c r="E9" s="1"/>
      <c r="F9" s="1"/>
      <c r="G9" s="1"/>
      <c r="H9" s="1"/>
    </row>
    <row r="10" spans="1:9">
      <c r="A10" s="1"/>
      <c r="B10" s="1"/>
      <c r="C10" s="1"/>
      <c r="D10" s="1"/>
      <c r="E10" s="1"/>
      <c r="F10" s="1"/>
      <c r="G10" s="1"/>
      <c r="H10" s="1"/>
    </row>
    <row r="11" spans="1:9">
      <c r="A11" s="1"/>
      <c r="B11" s="1"/>
      <c r="C11" s="1"/>
      <c r="D11" s="1"/>
      <c r="E11" s="1"/>
      <c r="F11" s="1"/>
      <c r="G11" s="1"/>
      <c r="H11" s="1"/>
    </row>
    <row r="12" spans="1:9">
      <c r="A12" s="1"/>
      <c r="B12" s="1"/>
      <c r="C12" s="1"/>
      <c r="D12" s="1"/>
      <c r="E12" s="1"/>
      <c r="F12" s="1"/>
      <c r="G12" s="1"/>
      <c r="H12" s="1"/>
    </row>
    <row r="13" spans="1:9">
      <c r="A13" s="1"/>
      <c r="B13" s="1"/>
      <c r="C13" s="1"/>
      <c r="D13" s="1"/>
      <c r="E13" s="1"/>
      <c r="F13" s="1"/>
      <c r="G13" s="1"/>
      <c r="H13" s="1"/>
    </row>
    <row r="14" spans="1:9">
      <c r="A14" s="1"/>
      <c r="B14" s="1"/>
      <c r="C14" s="1"/>
      <c r="D14" s="1"/>
      <c r="E14" s="1"/>
      <c r="F14" s="1"/>
      <c r="G14" s="1"/>
      <c r="H14" s="1"/>
    </row>
  </sheetData>
  <conditionalFormatting sqref="B2:H5">
    <cfRule type="colorScale" priority="1">
      <colorScale>
        <cfvo type="min"/>
        <cfvo type="max"/>
        <color rgb="FFFFEF9C"/>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workbookViewId="0">
      <pane ySplit="1" topLeftCell="B40" activePane="bottomLeft" state="frozen"/>
      <selection pane="bottomLeft" activeCell="F64" sqref="F64"/>
    </sheetView>
  </sheetViews>
  <sheetFormatPr defaultRowHeight="15"/>
  <cols>
    <col min="1" max="1" width="38.7109375" bestFit="1" customWidth="1"/>
    <col min="2" max="2" width="113.85546875" bestFit="1" customWidth="1"/>
    <col min="3" max="4" width="12.28515625" hidden="1" customWidth="1"/>
    <col min="5" max="5" width="9" hidden="1" customWidth="1"/>
    <col min="6" max="6" width="6.85546875" style="3" customWidth="1"/>
    <col min="7" max="7" width="133.5703125" customWidth="1"/>
  </cols>
  <sheetData>
    <row r="1" spans="1:7">
      <c r="A1" s="1" t="s">
        <v>153</v>
      </c>
      <c r="B1" s="1" t="s">
        <v>154</v>
      </c>
      <c r="C1" s="1" t="s">
        <v>155</v>
      </c>
      <c r="D1" s="1" t="s">
        <v>156</v>
      </c>
      <c r="E1" s="1" t="s">
        <v>157</v>
      </c>
      <c r="F1" s="2" t="s">
        <v>152</v>
      </c>
      <c r="G1" s="1" t="s">
        <v>158</v>
      </c>
    </row>
    <row r="2" spans="1:7" ht="30.75">
      <c r="A2" s="5" t="s">
        <v>49</v>
      </c>
      <c r="B2" s="5" t="s">
        <v>159</v>
      </c>
      <c r="C2" s="5"/>
      <c r="D2" s="5" t="s">
        <v>160</v>
      </c>
      <c r="E2" s="5"/>
      <c r="F2" s="6">
        <v>2</v>
      </c>
      <c r="G2" s="7" t="s">
        <v>161</v>
      </c>
    </row>
    <row r="3" spans="1:7">
      <c r="A3" s="5" t="s">
        <v>49</v>
      </c>
      <c r="B3" s="5" t="s">
        <v>162</v>
      </c>
      <c r="C3" s="5"/>
      <c r="D3" s="5"/>
      <c r="E3" s="5"/>
      <c r="F3" s="6">
        <v>2</v>
      </c>
      <c r="G3" s="18"/>
    </row>
    <row r="4" spans="1:7">
      <c r="A4" s="5" t="s">
        <v>49</v>
      </c>
      <c r="B4" s="5" t="s">
        <v>163</v>
      </c>
      <c r="C4" s="5"/>
      <c r="D4" s="5"/>
      <c r="E4" s="5"/>
      <c r="F4" s="6">
        <v>2</v>
      </c>
    </row>
    <row r="5" spans="1:7">
      <c r="A5" s="5" t="s">
        <v>49</v>
      </c>
      <c r="B5" s="5" t="s">
        <v>164</v>
      </c>
      <c r="C5" s="5"/>
      <c r="D5" s="5"/>
      <c r="E5" s="5"/>
      <c r="F5" s="6">
        <v>3</v>
      </c>
    </row>
    <row r="6" spans="1:7">
      <c r="A6" s="5" t="s">
        <v>49</v>
      </c>
      <c r="B6" s="5" t="s">
        <v>165</v>
      </c>
      <c r="C6" s="5"/>
      <c r="D6" s="5"/>
      <c r="E6" s="5"/>
      <c r="F6" s="6">
        <v>3</v>
      </c>
    </row>
    <row r="7" spans="1:7" ht="60.75">
      <c r="A7" s="5" t="s">
        <v>41</v>
      </c>
      <c r="B7" s="5" t="s">
        <v>166</v>
      </c>
      <c r="C7" s="5" t="s">
        <v>44</v>
      </c>
      <c r="D7" s="5"/>
      <c r="E7" s="5"/>
      <c r="F7" s="6">
        <v>4</v>
      </c>
      <c r="G7" s="4" t="s">
        <v>167</v>
      </c>
    </row>
    <row r="8" spans="1:7">
      <c r="A8" s="5" t="s">
        <v>41</v>
      </c>
      <c r="B8" s="5" t="s">
        <v>168</v>
      </c>
      <c r="C8" s="5" t="s">
        <v>44</v>
      </c>
      <c r="D8" s="5"/>
      <c r="E8" s="5"/>
      <c r="F8" s="6">
        <v>4</v>
      </c>
    </row>
    <row r="9" spans="1:7">
      <c r="A9" s="5" t="s">
        <v>41</v>
      </c>
      <c r="B9" s="5" t="s">
        <v>169</v>
      </c>
      <c r="C9" s="5" t="s">
        <v>20</v>
      </c>
      <c r="D9" s="5" t="s">
        <v>170</v>
      </c>
      <c r="E9" s="5"/>
      <c r="F9" s="6">
        <v>4</v>
      </c>
    </row>
    <row r="10" spans="1:7">
      <c r="A10" s="5" t="s">
        <v>41</v>
      </c>
      <c r="B10" s="5" t="s">
        <v>171</v>
      </c>
      <c r="C10" s="5" t="s">
        <v>20</v>
      </c>
      <c r="D10" s="5" t="s">
        <v>170</v>
      </c>
      <c r="E10" s="5"/>
      <c r="F10" s="6">
        <v>4</v>
      </c>
    </row>
    <row r="11" spans="1:7">
      <c r="A11" s="5" t="s">
        <v>49</v>
      </c>
      <c r="B11" s="5" t="s">
        <v>172</v>
      </c>
      <c r="C11" s="5" t="s">
        <v>20</v>
      </c>
      <c r="D11" s="5"/>
      <c r="E11" s="5"/>
      <c r="F11" s="6">
        <v>4</v>
      </c>
    </row>
    <row r="12" spans="1:7">
      <c r="A12" s="5" t="s">
        <v>49</v>
      </c>
      <c r="B12" s="5" t="s">
        <v>173</v>
      </c>
      <c r="C12" s="5" t="s">
        <v>20</v>
      </c>
      <c r="D12" s="5"/>
      <c r="E12" s="5"/>
      <c r="F12" s="6">
        <v>4</v>
      </c>
    </row>
    <row r="13" spans="1:7">
      <c r="A13" s="5" t="s">
        <v>49</v>
      </c>
      <c r="B13" s="5" t="s">
        <v>174</v>
      </c>
      <c r="C13" s="5" t="s">
        <v>20</v>
      </c>
      <c r="D13" s="5"/>
      <c r="E13" s="5"/>
      <c r="F13" s="6">
        <v>4</v>
      </c>
    </row>
    <row r="14" spans="1:7">
      <c r="A14" s="5" t="s">
        <v>49</v>
      </c>
      <c r="B14" s="5" t="s">
        <v>175</v>
      </c>
      <c r="C14" s="5" t="s">
        <v>20</v>
      </c>
      <c r="D14" s="5"/>
      <c r="E14" s="5"/>
      <c r="F14" s="6">
        <v>4</v>
      </c>
    </row>
    <row r="15" spans="1:7">
      <c r="A15" s="5" t="s">
        <v>60</v>
      </c>
      <c r="B15" s="5" t="s">
        <v>176</v>
      </c>
      <c r="C15" s="5" t="s">
        <v>20</v>
      </c>
      <c r="D15" s="5" t="s">
        <v>160</v>
      </c>
      <c r="E15" s="5"/>
      <c r="F15" s="6" t="s">
        <v>30</v>
      </c>
      <c r="G15" t="s">
        <v>177</v>
      </c>
    </row>
    <row r="16" spans="1:7">
      <c r="A16" s="5" t="s">
        <v>178</v>
      </c>
      <c r="B16" s="5" t="s">
        <v>179</v>
      </c>
      <c r="C16" s="5" t="s">
        <v>44</v>
      </c>
      <c r="D16" s="5" t="s">
        <v>160</v>
      </c>
      <c r="E16" s="5" t="s">
        <v>20</v>
      </c>
      <c r="F16" s="6" t="s">
        <v>180</v>
      </c>
    </row>
    <row r="17" spans="1:7">
      <c r="A17" s="5" t="s">
        <v>178</v>
      </c>
      <c r="B17" s="5" t="s">
        <v>181</v>
      </c>
      <c r="C17" s="5" t="s">
        <v>44</v>
      </c>
      <c r="D17" s="5" t="s">
        <v>160</v>
      </c>
      <c r="E17" s="5" t="s">
        <v>20</v>
      </c>
      <c r="F17" s="6" t="s">
        <v>180</v>
      </c>
    </row>
    <row r="18" spans="1:7">
      <c r="A18" s="5" t="s">
        <v>178</v>
      </c>
      <c r="B18" s="5" t="s">
        <v>182</v>
      </c>
      <c r="C18" s="5" t="s">
        <v>44</v>
      </c>
      <c r="D18" s="5" t="s">
        <v>160</v>
      </c>
      <c r="E18" s="5" t="s">
        <v>20</v>
      </c>
      <c r="F18" s="6" t="s">
        <v>180</v>
      </c>
    </row>
    <row r="19" spans="1:7">
      <c r="A19" s="5" t="s">
        <v>178</v>
      </c>
      <c r="B19" s="5" t="s">
        <v>183</v>
      </c>
      <c r="C19" s="5" t="s">
        <v>44</v>
      </c>
      <c r="D19" s="5" t="s">
        <v>160</v>
      </c>
      <c r="E19" s="5" t="s">
        <v>20</v>
      </c>
      <c r="F19" s="6" t="s">
        <v>180</v>
      </c>
    </row>
    <row r="20" spans="1:7">
      <c r="A20" s="5" t="s">
        <v>178</v>
      </c>
      <c r="B20" s="5" t="s">
        <v>184</v>
      </c>
      <c r="C20" s="5" t="s">
        <v>44</v>
      </c>
      <c r="D20" s="5" t="s">
        <v>160</v>
      </c>
      <c r="E20" s="5" t="s">
        <v>20</v>
      </c>
      <c r="F20" s="6" t="s">
        <v>180</v>
      </c>
    </row>
    <row r="21" spans="1:7">
      <c r="A21" s="5" t="s">
        <v>178</v>
      </c>
      <c r="B21" s="5" t="s">
        <v>185</v>
      </c>
      <c r="C21" s="5" t="s">
        <v>44</v>
      </c>
      <c r="D21" s="5" t="s">
        <v>160</v>
      </c>
      <c r="E21" s="5"/>
      <c r="F21" s="6" t="s">
        <v>180</v>
      </c>
    </row>
    <row r="22" spans="1:7">
      <c r="A22" s="5" t="s">
        <v>72</v>
      </c>
      <c r="B22" s="5" t="s">
        <v>186</v>
      </c>
      <c r="C22" s="5" t="s">
        <v>20</v>
      </c>
      <c r="D22" s="5" t="s">
        <v>160</v>
      </c>
      <c r="E22" s="5"/>
      <c r="F22" s="6" t="s">
        <v>180</v>
      </c>
    </row>
    <row r="23" spans="1:7">
      <c r="A23" s="5" t="s">
        <v>187</v>
      </c>
      <c r="B23" s="5" t="s">
        <v>188</v>
      </c>
      <c r="C23" s="5" t="s">
        <v>20</v>
      </c>
      <c r="D23" s="5" t="s">
        <v>160</v>
      </c>
      <c r="E23" s="5" t="s">
        <v>20</v>
      </c>
      <c r="F23" s="6" t="s">
        <v>180</v>
      </c>
    </row>
    <row r="24" spans="1:7">
      <c r="A24" s="5" t="s">
        <v>187</v>
      </c>
      <c r="B24" s="5" t="s">
        <v>189</v>
      </c>
      <c r="C24" s="5" t="s">
        <v>20</v>
      </c>
      <c r="D24" s="5" t="s">
        <v>160</v>
      </c>
      <c r="E24" s="5" t="s">
        <v>20</v>
      </c>
      <c r="F24" s="6" t="s">
        <v>180</v>
      </c>
    </row>
    <row r="25" spans="1:7">
      <c r="A25" s="5" t="s">
        <v>187</v>
      </c>
      <c r="B25" s="5" t="s">
        <v>190</v>
      </c>
      <c r="C25" s="5" t="s">
        <v>20</v>
      </c>
      <c r="D25" s="5" t="s">
        <v>160</v>
      </c>
      <c r="E25" s="5" t="s">
        <v>20</v>
      </c>
      <c r="F25" s="6" t="s">
        <v>180</v>
      </c>
      <c r="G25" s="18" t="s">
        <v>191</v>
      </c>
    </row>
    <row r="26" spans="1:7">
      <c r="A26" s="5" t="s">
        <v>187</v>
      </c>
      <c r="B26" s="5" t="s">
        <v>192</v>
      </c>
      <c r="C26" s="5" t="s">
        <v>20</v>
      </c>
      <c r="D26" s="5" t="s">
        <v>160</v>
      </c>
      <c r="E26" s="5" t="s">
        <v>20</v>
      </c>
      <c r="F26" s="6" t="s">
        <v>180</v>
      </c>
    </row>
    <row r="27" spans="1:7">
      <c r="A27" s="5" t="s">
        <v>187</v>
      </c>
      <c r="B27" s="5" t="s">
        <v>193</v>
      </c>
      <c r="C27" s="5" t="s">
        <v>44</v>
      </c>
      <c r="D27" s="5" t="s">
        <v>160</v>
      </c>
      <c r="E27" s="5"/>
      <c r="F27" s="6" t="s">
        <v>180</v>
      </c>
      <c r="G27" s="18" t="s">
        <v>194</v>
      </c>
    </row>
    <row r="28" spans="1:7">
      <c r="A28" s="5" t="s">
        <v>27</v>
      </c>
      <c r="B28" s="5" t="s">
        <v>195</v>
      </c>
      <c r="C28" s="5" t="s">
        <v>44</v>
      </c>
      <c r="D28" s="5" t="s">
        <v>160</v>
      </c>
      <c r="E28" s="5"/>
      <c r="F28" s="6" t="s">
        <v>180</v>
      </c>
    </row>
    <row r="29" spans="1:7">
      <c r="A29" s="5" t="s">
        <v>27</v>
      </c>
      <c r="B29" s="5" t="s">
        <v>196</v>
      </c>
      <c r="C29" s="5" t="s">
        <v>44</v>
      </c>
      <c r="D29" s="5" t="s">
        <v>160</v>
      </c>
      <c r="E29" s="5"/>
      <c r="F29" s="6" t="s">
        <v>180</v>
      </c>
    </row>
    <row r="30" spans="1:7">
      <c r="A30" s="5" t="s">
        <v>27</v>
      </c>
      <c r="B30" s="5" t="s">
        <v>197</v>
      </c>
      <c r="C30" s="5" t="s">
        <v>44</v>
      </c>
      <c r="D30" s="5" t="s">
        <v>160</v>
      </c>
      <c r="E30" s="5"/>
      <c r="F30" s="6" t="s">
        <v>180</v>
      </c>
    </row>
    <row r="31" spans="1:7">
      <c r="A31" s="5" t="s">
        <v>27</v>
      </c>
      <c r="B31" s="5" t="s">
        <v>198</v>
      </c>
      <c r="C31" s="5" t="s">
        <v>44</v>
      </c>
      <c r="D31" s="5" t="s">
        <v>160</v>
      </c>
      <c r="E31" s="5"/>
      <c r="F31" s="6" t="s">
        <v>180</v>
      </c>
      <c r="G31" s="18" t="s">
        <v>199</v>
      </c>
    </row>
    <row r="32" spans="1:7">
      <c r="A32" s="5" t="s">
        <v>27</v>
      </c>
      <c r="B32" s="5" t="s">
        <v>200</v>
      </c>
      <c r="C32" s="5" t="s">
        <v>44</v>
      </c>
      <c r="D32" s="5" t="s">
        <v>160</v>
      </c>
      <c r="E32" s="5"/>
      <c r="F32" s="6" t="s">
        <v>180</v>
      </c>
      <c r="G32" s="18" t="s">
        <v>201</v>
      </c>
    </row>
    <row r="33" spans="1:7">
      <c r="A33" s="5" t="s">
        <v>27</v>
      </c>
      <c r="B33" s="5" t="s">
        <v>202</v>
      </c>
      <c r="C33" s="5" t="s">
        <v>44</v>
      </c>
      <c r="D33" s="5" t="s">
        <v>160</v>
      </c>
      <c r="E33" s="5"/>
      <c r="F33" s="6" t="s">
        <v>180</v>
      </c>
      <c r="G33" s="18" t="s">
        <v>203</v>
      </c>
    </row>
    <row r="34" spans="1:7">
      <c r="A34" s="5" t="s">
        <v>27</v>
      </c>
      <c r="B34" s="5" t="s">
        <v>204</v>
      </c>
      <c r="C34" s="5" t="s">
        <v>44</v>
      </c>
      <c r="D34" s="5" t="s">
        <v>160</v>
      </c>
      <c r="E34" s="5"/>
      <c r="F34" s="6" t="s">
        <v>180</v>
      </c>
    </row>
    <row r="35" spans="1:7">
      <c r="A35" s="5" t="s">
        <v>27</v>
      </c>
      <c r="B35" s="5" t="s">
        <v>205</v>
      </c>
      <c r="C35" s="5" t="s">
        <v>44</v>
      </c>
      <c r="D35" s="5" t="s">
        <v>170</v>
      </c>
      <c r="E35" s="5"/>
      <c r="F35" s="6" t="s">
        <v>180</v>
      </c>
    </row>
    <row r="36" spans="1:7">
      <c r="A36" s="5" t="s">
        <v>27</v>
      </c>
      <c r="B36" s="5" t="s">
        <v>206</v>
      </c>
      <c r="C36" s="5" t="s">
        <v>44</v>
      </c>
      <c r="D36" s="5" t="s">
        <v>160</v>
      </c>
      <c r="E36" s="5"/>
      <c r="F36" s="6" t="s">
        <v>180</v>
      </c>
      <c r="G36" s="18" t="s">
        <v>207</v>
      </c>
    </row>
    <row r="37" spans="1:7">
      <c r="A37" s="5" t="s">
        <v>27</v>
      </c>
      <c r="B37" s="5" t="s">
        <v>208</v>
      </c>
      <c r="C37" s="5" t="s">
        <v>44</v>
      </c>
      <c r="D37" s="5" t="s">
        <v>160</v>
      </c>
      <c r="E37" s="5"/>
      <c r="F37" s="6" t="s">
        <v>180</v>
      </c>
    </row>
    <row r="38" spans="1:7">
      <c r="A38" s="5" t="s">
        <v>27</v>
      </c>
      <c r="B38" s="5" t="s">
        <v>209</v>
      </c>
      <c r="C38" s="5" t="s">
        <v>44</v>
      </c>
      <c r="D38" s="5" t="s">
        <v>160</v>
      </c>
      <c r="E38" s="5"/>
      <c r="F38" s="6" t="s">
        <v>180</v>
      </c>
    </row>
    <row r="39" spans="1:7">
      <c r="A39" s="5" t="s">
        <v>27</v>
      </c>
      <c r="B39" s="5" t="s">
        <v>210</v>
      </c>
      <c r="C39" s="5" t="s">
        <v>20</v>
      </c>
      <c r="D39" s="5" t="s">
        <v>170</v>
      </c>
      <c r="E39" s="5"/>
      <c r="F39" s="6" t="s">
        <v>180</v>
      </c>
    </row>
    <row r="40" spans="1:7">
      <c r="A40" s="5" t="s">
        <v>27</v>
      </c>
      <c r="B40" s="5" t="s">
        <v>211</v>
      </c>
      <c r="C40" s="5" t="s">
        <v>44</v>
      </c>
      <c r="D40" s="5"/>
      <c r="E40" s="5"/>
      <c r="F40" s="6" t="s">
        <v>180</v>
      </c>
    </row>
    <row r="41" spans="1:7">
      <c r="A41" s="5" t="s">
        <v>41</v>
      </c>
      <c r="B41" s="5" t="s">
        <v>212</v>
      </c>
      <c r="C41" s="5" t="s">
        <v>20</v>
      </c>
      <c r="D41" s="5" t="s">
        <v>170</v>
      </c>
      <c r="E41" s="5"/>
      <c r="F41" s="6" t="s">
        <v>213</v>
      </c>
    </row>
    <row r="42" spans="1:7">
      <c r="A42" s="5" t="s">
        <v>41</v>
      </c>
      <c r="B42" s="5" t="s">
        <v>214</v>
      </c>
      <c r="C42" s="5" t="s">
        <v>20</v>
      </c>
      <c r="D42" s="5" t="s">
        <v>170</v>
      </c>
      <c r="E42" s="5"/>
      <c r="F42" s="6" t="s">
        <v>213</v>
      </c>
    </row>
    <row r="43" spans="1:7">
      <c r="A43" s="5" t="s">
        <v>41</v>
      </c>
      <c r="B43" s="5" t="s">
        <v>215</v>
      </c>
      <c r="C43" s="5" t="s">
        <v>20</v>
      </c>
      <c r="D43" s="5" t="s">
        <v>170</v>
      </c>
      <c r="E43" s="5"/>
      <c r="F43" s="6" t="s">
        <v>213</v>
      </c>
    </row>
    <row r="44" spans="1:7">
      <c r="A44" s="5" t="s">
        <v>41</v>
      </c>
      <c r="B44" s="5" t="s">
        <v>216</v>
      </c>
      <c r="C44" s="5" t="s">
        <v>20</v>
      </c>
      <c r="D44" s="5" t="s">
        <v>170</v>
      </c>
      <c r="E44" s="5"/>
      <c r="F44" s="6" t="s">
        <v>213</v>
      </c>
    </row>
    <row r="45" spans="1:7">
      <c r="A45" s="5" t="s">
        <v>41</v>
      </c>
      <c r="B45" s="5" t="s">
        <v>217</v>
      </c>
      <c r="C45" s="5" t="s">
        <v>20</v>
      </c>
      <c r="D45" s="5" t="s">
        <v>170</v>
      </c>
      <c r="E45" s="5"/>
      <c r="F45" s="6" t="s">
        <v>213</v>
      </c>
    </row>
    <row r="46" spans="1:7">
      <c r="A46" s="5" t="s">
        <v>41</v>
      </c>
      <c r="B46" s="5" t="s">
        <v>218</v>
      </c>
      <c r="C46" s="5" t="s">
        <v>20</v>
      </c>
      <c r="D46" s="5" t="s">
        <v>170</v>
      </c>
      <c r="E46" s="5"/>
      <c r="F46" s="6" t="s">
        <v>213</v>
      </c>
    </row>
    <row r="47" spans="1:7">
      <c r="A47" s="5" t="s">
        <v>72</v>
      </c>
      <c r="B47" s="5" t="s">
        <v>219</v>
      </c>
      <c r="C47" s="5" t="s">
        <v>20</v>
      </c>
      <c r="D47" s="5" t="s">
        <v>170</v>
      </c>
      <c r="E47" s="5" t="s">
        <v>20</v>
      </c>
      <c r="F47" s="6" t="s">
        <v>213</v>
      </c>
    </row>
    <row r="48" spans="1:7">
      <c r="A48" s="5" t="s">
        <v>41</v>
      </c>
      <c r="B48" s="5" t="s">
        <v>220</v>
      </c>
      <c r="C48" s="5" t="s">
        <v>44</v>
      </c>
      <c r="D48" s="5" t="s">
        <v>160</v>
      </c>
      <c r="E48" s="5"/>
      <c r="F48" s="6" t="s">
        <v>221</v>
      </c>
      <c r="G48" t="s">
        <v>222</v>
      </c>
    </row>
    <row r="49" spans="1:7">
      <c r="A49" s="5" t="s">
        <v>41</v>
      </c>
      <c r="B49" s="5" t="s">
        <v>223</v>
      </c>
      <c r="C49" s="5" t="s">
        <v>44</v>
      </c>
      <c r="D49" s="5"/>
      <c r="E49" s="5"/>
      <c r="F49" s="6" t="s">
        <v>221</v>
      </c>
      <c r="G49" s="18" t="s">
        <v>224</v>
      </c>
    </row>
    <row r="50" spans="1:7">
      <c r="A50" s="5" t="s">
        <v>41</v>
      </c>
      <c r="B50" s="5" t="s">
        <v>225</v>
      </c>
      <c r="C50" s="5" t="s">
        <v>44</v>
      </c>
      <c r="D50" s="5" t="s">
        <v>160</v>
      </c>
      <c r="E50" s="5"/>
      <c r="F50" s="6" t="s">
        <v>221</v>
      </c>
    </row>
    <row r="51" spans="1:7">
      <c r="A51" s="5" t="s">
        <v>41</v>
      </c>
      <c r="B51" s="5" t="s">
        <v>226</v>
      </c>
      <c r="C51" s="5" t="s">
        <v>44</v>
      </c>
      <c r="D51" s="5"/>
      <c r="E51" s="5"/>
      <c r="F51" s="6" t="s">
        <v>221</v>
      </c>
    </row>
    <row r="52" spans="1:7">
      <c r="A52" s="5" t="s">
        <v>41</v>
      </c>
      <c r="B52" s="5" t="s">
        <v>227</v>
      </c>
      <c r="C52" s="5" t="s">
        <v>44</v>
      </c>
      <c r="D52" s="5" t="s">
        <v>160</v>
      </c>
      <c r="E52" s="5"/>
      <c r="F52" s="6" t="s">
        <v>221</v>
      </c>
    </row>
    <row r="53" spans="1:7">
      <c r="A53" s="5" t="s">
        <v>41</v>
      </c>
      <c r="B53" s="5" t="s">
        <v>228</v>
      </c>
      <c r="C53" s="5" t="s">
        <v>44</v>
      </c>
      <c r="D53" s="5"/>
      <c r="E53" s="5"/>
      <c r="F53" s="6" t="s">
        <v>221</v>
      </c>
    </row>
    <row r="54" spans="1:7">
      <c r="A54" s="5" t="s">
        <v>41</v>
      </c>
      <c r="B54" s="5" t="s">
        <v>229</v>
      </c>
      <c r="C54" s="5" t="s">
        <v>44</v>
      </c>
      <c r="D54" s="5" t="s">
        <v>160</v>
      </c>
      <c r="E54" s="5"/>
      <c r="F54" s="6" t="s">
        <v>221</v>
      </c>
    </row>
    <row r="55" spans="1:7">
      <c r="A55" s="5" t="s">
        <v>41</v>
      </c>
      <c r="B55" s="5" t="s">
        <v>230</v>
      </c>
      <c r="C55" s="5" t="s">
        <v>44</v>
      </c>
      <c r="D55" s="5"/>
      <c r="E55" s="5"/>
      <c r="F55" s="6" t="s">
        <v>221</v>
      </c>
    </row>
    <row r="56" spans="1:7">
      <c r="A56" s="5" t="s">
        <v>41</v>
      </c>
      <c r="B56" s="5" t="s">
        <v>231</v>
      </c>
      <c r="C56" s="5" t="s">
        <v>44</v>
      </c>
      <c r="D56" s="5" t="s">
        <v>160</v>
      </c>
      <c r="E56" s="5"/>
      <c r="F56" s="6" t="s">
        <v>221</v>
      </c>
    </row>
    <row r="57" spans="1:7">
      <c r="A57" s="5" t="s">
        <v>41</v>
      </c>
      <c r="B57" s="5" t="s">
        <v>232</v>
      </c>
      <c r="C57" s="5" t="s">
        <v>44</v>
      </c>
      <c r="D57" s="5"/>
      <c r="E57" s="5"/>
      <c r="F57" s="6" t="s">
        <v>221</v>
      </c>
    </row>
    <row r="58" spans="1:7">
      <c r="A58" s="5" t="s">
        <v>72</v>
      </c>
      <c r="B58" s="5" t="s">
        <v>233</v>
      </c>
      <c r="C58" s="5" t="s">
        <v>44</v>
      </c>
      <c r="D58" s="5" t="s">
        <v>170</v>
      </c>
      <c r="E58" s="5"/>
      <c r="F58" s="6" t="s">
        <v>221</v>
      </c>
    </row>
    <row r="59" spans="1:7">
      <c r="A59" s="5" t="s">
        <v>72</v>
      </c>
      <c r="B59" s="5" t="s">
        <v>234</v>
      </c>
      <c r="C59" s="5" t="s">
        <v>20</v>
      </c>
      <c r="D59" s="5" t="s">
        <v>160</v>
      </c>
      <c r="E59" s="5"/>
      <c r="F59" s="6" t="s">
        <v>221</v>
      </c>
    </row>
    <row r="60" spans="1:7">
      <c r="A60" s="5" t="s">
        <v>72</v>
      </c>
      <c r="B60" s="5" t="s">
        <v>235</v>
      </c>
      <c r="C60" s="5" t="s">
        <v>20</v>
      </c>
      <c r="D60" s="5" t="s">
        <v>160</v>
      </c>
      <c r="E60" s="5"/>
      <c r="F60" s="6" t="s">
        <v>221</v>
      </c>
    </row>
    <row r="61" spans="1:7">
      <c r="A61" s="5" t="s">
        <v>72</v>
      </c>
      <c r="B61" s="5" t="s">
        <v>236</v>
      </c>
      <c r="C61" s="5" t="s">
        <v>20</v>
      </c>
      <c r="D61" s="5" t="s">
        <v>160</v>
      </c>
      <c r="E61" s="5"/>
      <c r="F61" s="6" t="s">
        <v>221</v>
      </c>
    </row>
    <row r="62" spans="1:7" ht="60.75">
      <c r="A62" s="5" t="s">
        <v>49</v>
      </c>
      <c r="B62" s="5" t="s">
        <v>237</v>
      </c>
      <c r="C62" s="5" t="s">
        <v>20</v>
      </c>
      <c r="D62" s="5"/>
      <c r="E62" s="5"/>
      <c r="F62" s="6" t="s">
        <v>221</v>
      </c>
      <c r="G62" s="4" t="s">
        <v>238</v>
      </c>
    </row>
    <row r="63" spans="1:7">
      <c r="A63" s="5" t="s">
        <v>49</v>
      </c>
      <c r="B63" s="5" t="s">
        <v>239</v>
      </c>
      <c r="C63" s="5" t="s">
        <v>20</v>
      </c>
      <c r="D63" s="5"/>
      <c r="E63" s="5"/>
      <c r="F63" s="6" t="s">
        <v>221</v>
      </c>
    </row>
    <row r="64" spans="1:7">
      <c r="A64" s="5" t="s">
        <v>49</v>
      </c>
      <c r="B64" s="5" t="s">
        <v>240</v>
      </c>
      <c r="C64" s="5" t="s">
        <v>20</v>
      </c>
      <c r="D64" s="5"/>
      <c r="E64" s="5"/>
      <c r="F64" s="6" t="s">
        <v>221</v>
      </c>
    </row>
    <row r="65" spans="1:7">
      <c r="A65" s="5" t="s">
        <v>49</v>
      </c>
      <c r="B65" s="5" t="s">
        <v>241</v>
      </c>
      <c r="C65" s="5" t="s">
        <v>20</v>
      </c>
      <c r="D65" s="5"/>
      <c r="E65" s="5"/>
      <c r="F65" s="6" t="s">
        <v>221</v>
      </c>
      <c r="G65" s="19" t="s">
        <v>242</v>
      </c>
    </row>
    <row r="66" spans="1:7">
      <c r="A66" s="5" t="s">
        <v>49</v>
      </c>
      <c r="B66" s="5" t="s">
        <v>243</v>
      </c>
      <c r="C66" s="5" t="s">
        <v>20</v>
      </c>
      <c r="D66" s="5"/>
      <c r="E66" s="5"/>
      <c r="F66" s="6" t="s">
        <v>221</v>
      </c>
      <c r="G66" s="19" t="s">
        <v>242</v>
      </c>
    </row>
    <row r="67" spans="1:7">
      <c r="A67" s="5" t="s">
        <v>27</v>
      </c>
      <c r="B67" s="5" t="s">
        <v>244</v>
      </c>
      <c r="C67" s="5" t="s">
        <v>44</v>
      </c>
      <c r="D67" s="5"/>
      <c r="E67" s="5"/>
      <c r="F67" s="6" t="s">
        <v>221</v>
      </c>
    </row>
    <row r="68" spans="1:7">
      <c r="A68" s="5" t="s">
        <v>178</v>
      </c>
      <c r="B68" s="5" t="s">
        <v>245</v>
      </c>
    </row>
    <row r="69" spans="1:7">
      <c r="A69" s="5" t="s">
        <v>178</v>
      </c>
      <c r="B69" s="5" t="s">
        <v>246</v>
      </c>
    </row>
    <row r="70" spans="1:7">
      <c r="A70" s="5" t="s">
        <v>178</v>
      </c>
      <c r="B70" s="5" t="s">
        <v>247</v>
      </c>
      <c r="G70" s="18" t="s">
        <v>248</v>
      </c>
    </row>
    <row r="71" spans="1:7">
      <c r="A71" s="5" t="s">
        <v>178</v>
      </c>
      <c r="B71" s="5" t="s">
        <v>249</v>
      </c>
    </row>
    <row r="72" spans="1:7">
      <c r="A72" s="5" t="s">
        <v>187</v>
      </c>
      <c r="B72" s="5" t="s">
        <v>250</v>
      </c>
    </row>
    <row r="73" spans="1:7">
      <c r="A73" s="5" t="s">
        <v>251</v>
      </c>
      <c r="B73" s="5" t="s">
        <v>252</v>
      </c>
      <c r="G73" s="18" t="s">
        <v>253</v>
      </c>
    </row>
    <row r="74" spans="1:7">
      <c r="A74" s="5" t="s">
        <v>251</v>
      </c>
      <c r="B74" s="5" t="s">
        <v>254</v>
      </c>
      <c r="G74" t="s">
        <v>255</v>
      </c>
    </row>
    <row r="75" spans="1:7">
      <c r="A75" s="5" t="s">
        <v>251</v>
      </c>
      <c r="B75" s="5" t="s">
        <v>256</v>
      </c>
    </row>
    <row r="76" spans="1:7">
      <c r="A76" s="5" t="s">
        <v>251</v>
      </c>
      <c r="B76" s="5" t="s">
        <v>257</v>
      </c>
      <c r="G76" t="s">
        <v>258</v>
      </c>
    </row>
    <row r="77" spans="1:7">
      <c r="B77" t="s">
        <v>259</v>
      </c>
    </row>
    <row r="78" spans="1:7">
      <c r="G78" s="18" t="s">
        <v>260</v>
      </c>
    </row>
  </sheetData>
  <sortState xmlns:xlrd2="http://schemas.microsoft.com/office/spreadsheetml/2017/richdata2" ref="A2:G72">
    <sortCondition ref="F2:F7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2026-01-16T11:10:27Z</dcterms:created>
  <dcterms:modified xsi:type="dcterms:W3CDTF">2026-09-17T13:56:05Z</dcterms:modified>
  <cp:category/>
  <cp:contentStatus/>
</cp:coreProperties>
</file>